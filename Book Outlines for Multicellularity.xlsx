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13_ncr:1_{56EAEBCF-8E3B-4C5C-8999-3F59046F3893}" xr6:coauthVersionLast="47" xr6:coauthVersionMax="47" xr10:uidLastSave="{00000000-0000-0000-0000-000000000000}"/>
  <bookViews>
    <workbookView xWindow="-110" yWindow="-110" windowWidth="19420" windowHeight="10420" tabRatio="861" activeTab="8" xr2:uid="{00000000-000D-0000-FFFF-FFFF00000000}"/>
  </bookViews>
  <sheets>
    <sheet name="Sheet6" sheetId="12" r:id="rId1"/>
    <sheet name="MTE (2)" sheetId="13" state="hidden" r:id="rId2"/>
    <sheet name="MTE" sheetId="1" r:id="rId3"/>
    <sheet name="MTER" sheetId="7" r:id="rId4"/>
    <sheet name="EOM" sheetId="3" r:id="rId5"/>
    <sheet name="FGTI" sheetId="4" r:id="rId6"/>
    <sheet name="MOE" sheetId="5" r:id="rId7"/>
    <sheet name="LOBS" sheetId="6" r:id="rId8"/>
    <sheet name="CEVO" sheetId="8" r:id="rId9"/>
    <sheet name="RC" sheetId="9" r:id="rId10"/>
    <sheet name="FBAW" sheetId="10" r:id="rId11"/>
    <sheet name="MOD" sheetId="11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22" i="13" l="1"/>
  <c r="E122" i="13" s="1"/>
  <c r="D121" i="13"/>
  <c r="E121" i="13" s="1"/>
  <c r="A120" i="13"/>
  <c r="D120" i="13" s="1"/>
  <c r="E120" i="13" s="1"/>
  <c r="A119" i="13"/>
  <c r="D119" i="13" s="1"/>
  <c r="E119" i="13" s="1"/>
  <c r="A118" i="13"/>
  <c r="D118" i="13" s="1"/>
  <c r="E118" i="13" s="1"/>
  <c r="D117" i="13"/>
  <c r="E117" i="13" s="1"/>
  <c r="A117" i="13"/>
  <c r="D116" i="13"/>
  <c r="E116" i="13" s="1"/>
  <c r="A116" i="13"/>
  <c r="A115" i="13"/>
  <c r="D115" i="13" s="1"/>
  <c r="E115" i="13" s="1"/>
  <c r="A114" i="13"/>
  <c r="D114" i="13" s="1"/>
  <c r="E114" i="13" s="1"/>
  <c r="A113" i="13"/>
  <c r="D113" i="13" s="1"/>
  <c r="E113" i="13" s="1"/>
  <c r="A112" i="13"/>
  <c r="D112" i="13" s="1"/>
  <c r="E112" i="13" s="1"/>
  <c r="D111" i="13"/>
  <c r="E111" i="13" s="1"/>
  <c r="A110" i="13"/>
  <c r="D110" i="13" s="1"/>
  <c r="E110" i="13" s="1"/>
  <c r="A109" i="13"/>
  <c r="D109" i="13" s="1"/>
  <c r="E109" i="13" s="1"/>
  <c r="A108" i="13"/>
  <c r="D108" i="13" s="1"/>
  <c r="E108" i="13" s="1"/>
  <c r="D107" i="13"/>
  <c r="E107" i="13" s="1"/>
  <c r="A107" i="13"/>
  <c r="D106" i="13"/>
  <c r="E106" i="13" s="1"/>
  <c r="A106" i="13"/>
  <c r="D105" i="13"/>
  <c r="E105" i="13" s="1"/>
  <c r="A105" i="13"/>
  <c r="A104" i="13"/>
  <c r="D104" i="13" s="1"/>
  <c r="E104" i="13" s="1"/>
  <c r="E103" i="13"/>
  <c r="D103" i="13"/>
  <c r="D102" i="13"/>
  <c r="E102" i="13" s="1"/>
  <c r="C102" i="13"/>
  <c r="A102" i="13"/>
  <c r="C101" i="13"/>
  <c r="A101" i="13"/>
  <c r="D101" i="13" s="1"/>
  <c r="E101" i="13" s="1"/>
  <c r="D100" i="13"/>
  <c r="E100" i="13" s="1"/>
  <c r="C100" i="13"/>
  <c r="A100" i="13"/>
  <c r="C99" i="13"/>
  <c r="A99" i="13"/>
  <c r="D99" i="13" s="1"/>
  <c r="E99" i="13" s="1"/>
  <c r="D98" i="13"/>
  <c r="E98" i="13" s="1"/>
  <c r="A98" i="13"/>
  <c r="E97" i="13"/>
  <c r="D97" i="13"/>
  <c r="D96" i="13"/>
  <c r="E96" i="13" s="1"/>
  <c r="C96" i="13"/>
  <c r="A96" i="13"/>
  <c r="E95" i="13"/>
  <c r="D95" i="13"/>
  <c r="C95" i="13"/>
  <c r="A95" i="13"/>
  <c r="D94" i="13"/>
  <c r="E94" i="13" s="1"/>
  <c r="C94" i="13"/>
  <c r="A94" i="13"/>
  <c r="E93" i="13"/>
  <c r="D93" i="13"/>
  <c r="C93" i="13"/>
  <c r="A93" i="13"/>
  <c r="D92" i="13"/>
  <c r="E92" i="13" s="1"/>
  <c r="C92" i="13"/>
  <c r="A92" i="13"/>
  <c r="E91" i="13"/>
  <c r="D91" i="13"/>
  <c r="C91" i="13"/>
  <c r="C90" i="13"/>
  <c r="A90" i="13"/>
  <c r="D90" i="13" s="1"/>
  <c r="E90" i="13" s="1"/>
  <c r="D89" i="13"/>
  <c r="E89" i="13" s="1"/>
  <c r="C89" i="13"/>
  <c r="A89" i="13"/>
  <c r="C88" i="13"/>
  <c r="A88" i="13"/>
  <c r="D88" i="13" s="1"/>
  <c r="E88" i="13" s="1"/>
  <c r="D87" i="13"/>
  <c r="E87" i="13" s="1"/>
  <c r="C87" i="13"/>
  <c r="C86" i="13"/>
  <c r="A86" i="13"/>
  <c r="D86" i="13" s="1"/>
  <c r="E86" i="13" s="1"/>
  <c r="C85" i="13"/>
  <c r="A85" i="13"/>
  <c r="D85" i="13" s="1"/>
  <c r="E85" i="13" s="1"/>
  <c r="C84" i="13"/>
  <c r="A84" i="13"/>
  <c r="D84" i="13" s="1"/>
  <c r="E84" i="13" s="1"/>
  <c r="C83" i="13"/>
  <c r="A83" i="13"/>
  <c r="D83" i="13" s="1"/>
  <c r="E83" i="13" s="1"/>
  <c r="C82" i="13"/>
  <c r="A82" i="13"/>
  <c r="D82" i="13" s="1"/>
  <c r="E82" i="13" s="1"/>
  <c r="C81" i="13"/>
  <c r="A81" i="13"/>
  <c r="D81" i="13" s="1"/>
  <c r="E81" i="13" s="1"/>
  <c r="C80" i="13"/>
  <c r="A80" i="13"/>
  <c r="D80" i="13" s="1"/>
  <c r="E80" i="13" s="1"/>
  <c r="D79" i="13"/>
  <c r="E79" i="13" s="1"/>
  <c r="C79" i="13"/>
  <c r="C78" i="13"/>
  <c r="A78" i="13"/>
  <c r="D78" i="13" s="1"/>
  <c r="E78" i="13" s="1"/>
  <c r="C77" i="13"/>
  <c r="A77" i="13"/>
  <c r="D77" i="13" s="1"/>
  <c r="E77" i="13" s="1"/>
  <c r="C76" i="13"/>
  <c r="A76" i="13"/>
  <c r="D76" i="13" s="1"/>
  <c r="E76" i="13" s="1"/>
  <c r="C75" i="13"/>
  <c r="A75" i="13"/>
  <c r="D75" i="13" s="1"/>
  <c r="E75" i="13" s="1"/>
  <c r="C74" i="13"/>
  <c r="A74" i="13"/>
  <c r="D74" i="13" s="1"/>
  <c r="E74" i="13" s="1"/>
  <c r="C73" i="13"/>
  <c r="A73" i="13"/>
  <c r="D73" i="13" s="1"/>
  <c r="E73" i="13" s="1"/>
  <c r="C72" i="13"/>
  <c r="A72" i="13"/>
  <c r="D72" i="13" s="1"/>
  <c r="E72" i="13" s="1"/>
  <c r="C71" i="13"/>
  <c r="A71" i="13"/>
  <c r="D71" i="13" s="1"/>
  <c r="E71" i="13" s="1"/>
  <c r="C70" i="13"/>
  <c r="A70" i="13"/>
  <c r="D70" i="13" s="1"/>
  <c r="E70" i="13" s="1"/>
  <c r="C69" i="13"/>
  <c r="A69" i="13"/>
  <c r="D69" i="13" s="1"/>
  <c r="E69" i="13" s="1"/>
  <c r="C68" i="13"/>
  <c r="A68" i="13"/>
  <c r="D68" i="13" s="1"/>
  <c r="E68" i="13" s="1"/>
  <c r="C67" i="13"/>
  <c r="A67" i="13"/>
  <c r="D67" i="13" s="1"/>
  <c r="E67" i="13" s="1"/>
  <c r="C66" i="13"/>
  <c r="A66" i="13"/>
  <c r="D66" i="13" s="1"/>
  <c r="E66" i="13" s="1"/>
  <c r="C65" i="13"/>
  <c r="A65" i="13"/>
  <c r="D65" i="13" s="1"/>
  <c r="E65" i="13" s="1"/>
  <c r="C64" i="13"/>
  <c r="A64" i="13"/>
  <c r="D64" i="13" s="1"/>
  <c r="E64" i="13" s="1"/>
  <c r="C63" i="13"/>
  <c r="A63" i="13"/>
  <c r="D63" i="13" s="1"/>
  <c r="E63" i="13" s="1"/>
  <c r="A62" i="13"/>
  <c r="D62" i="13" s="1"/>
  <c r="E62" i="13" s="1"/>
  <c r="D61" i="13"/>
  <c r="E61" i="13" s="1"/>
  <c r="A61" i="13"/>
  <c r="D60" i="13"/>
  <c r="E60" i="13" s="1"/>
  <c r="C60" i="13"/>
  <c r="A60" i="13"/>
  <c r="D59" i="13"/>
  <c r="E59" i="13" s="1"/>
  <c r="C59" i="13"/>
  <c r="A59" i="13"/>
  <c r="D58" i="13"/>
  <c r="E58" i="13" s="1"/>
  <c r="C58" i="13"/>
  <c r="C57" i="13"/>
  <c r="A57" i="13"/>
  <c r="D57" i="13" s="1"/>
  <c r="E57" i="13" s="1"/>
  <c r="C56" i="13"/>
  <c r="A56" i="13"/>
  <c r="D56" i="13" s="1"/>
  <c r="E56" i="13" s="1"/>
  <c r="C55" i="13"/>
  <c r="A55" i="13"/>
  <c r="D55" i="13" s="1"/>
  <c r="E55" i="13" s="1"/>
  <c r="C54" i="13"/>
  <c r="A54" i="13"/>
  <c r="D54" i="13" s="1"/>
  <c r="E54" i="13" s="1"/>
  <c r="C53" i="13"/>
  <c r="A53" i="13"/>
  <c r="D53" i="13" s="1"/>
  <c r="E53" i="13" s="1"/>
  <c r="C52" i="13"/>
  <c r="A52" i="13"/>
  <c r="D52" i="13" s="1"/>
  <c r="E52" i="13" s="1"/>
  <c r="C51" i="13"/>
  <c r="A51" i="13"/>
  <c r="D51" i="13" s="1"/>
  <c r="E51" i="13" s="1"/>
  <c r="C50" i="13"/>
  <c r="A50" i="13"/>
  <c r="D50" i="13" s="1"/>
  <c r="E50" i="13" s="1"/>
  <c r="D49" i="13"/>
  <c r="E49" i="13" s="1"/>
  <c r="C49" i="13"/>
  <c r="C48" i="13"/>
  <c r="A48" i="13"/>
  <c r="D48" i="13" s="1"/>
  <c r="E48" i="13" s="1"/>
  <c r="A47" i="13"/>
  <c r="D47" i="13" s="1"/>
  <c r="E47" i="13" s="1"/>
  <c r="D46" i="13"/>
  <c r="E46" i="13" s="1"/>
  <c r="C46" i="13"/>
  <c r="A46" i="13"/>
  <c r="E45" i="13"/>
  <c r="D45" i="13"/>
  <c r="C45" i="13"/>
  <c r="A45" i="13"/>
  <c r="D44" i="13"/>
  <c r="E44" i="13" s="1"/>
  <c r="C44" i="13"/>
  <c r="A44" i="13"/>
  <c r="E43" i="13"/>
  <c r="D43" i="13"/>
  <c r="C43" i="13"/>
  <c r="A43" i="13"/>
  <c r="D42" i="13"/>
  <c r="E42" i="13" s="1"/>
  <c r="C42" i="13"/>
  <c r="A42" i="13"/>
  <c r="E41" i="13"/>
  <c r="D41" i="13"/>
  <c r="C41" i="13"/>
  <c r="A41" i="13"/>
  <c r="D40" i="13"/>
  <c r="E40" i="13" s="1"/>
  <c r="C40" i="13"/>
  <c r="A40" i="13"/>
  <c r="E39" i="13"/>
  <c r="D39" i="13"/>
  <c r="C39" i="13"/>
  <c r="D38" i="13"/>
  <c r="E38" i="13" s="1"/>
  <c r="C38" i="13"/>
  <c r="A38" i="13"/>
  <c r="D37" i="13"/>
  <c r="E37" i="13" s="1"/>
  <c r="C37" i="13"/>
  <c r="A37" i="13"/>
  <c r="D36" i="13"/>
  <c r="E36" i="13" s="1"/>
  <c r="C36" i="13"/>
  <c r="A36" i="13"/>
  <c r="D35" i="13"/>
  <c r="E35" i="13" s="1"/>
  <c r="C35" i="13"/>
  <c r="A35" i="13"/>
  <c r="D34" i="13"/>
  <c r="E34" i="13" s="1"/>
  <c r="C34" i="13"/>
  <c r="A34" i="13"/>
  <c r="D33" i="13"/>
  <c r="E33" i="13" s="1"/>
  <c r="C33" i="13"/>
  <c r="A33" i="13"/>
  <c r="D32" i="13"/>
  <c r="E32" i="13" s="1"/>
  <c r="C32" i="13"/>
  <c r="A32" i="13"/>
  <c r="D31" i="13"/>
  <c r="E31" i="13" s="1"/>
  <c r="C31" i="13"/>
  <c r="A31" i="13"/>
  <c r="D30" i="13"/>
  <c r="E30" i="13" s="1"/>
  <c r="C30" i="13"/>
  <c r="A30" i="13"/>
  <c r="D29" i="13"/>
  <c r="E29" i="13" s="1"/>
  <c r="C29" i="13"/>
  <c r="A28" i="13"/>
  <c r="D28" i="13" s="1"/>
  <c r="E28" i="13" s="1"/>
  <c r="E27" i="13"/>
  <c r="D27" i="13"/>
  <c r="A27" i="13"/>
  <c r="E26" i="13"/>
  <c r="D26" i="13"/>
  <c r="A26" i="13"/>
  <c r="A25" i="13"/>
  <c r="D25" i="13" s="1"/>
  <c r="E25" i="13" s="1"/>
  <c r="A24" i="13"/>
  <c r="D24" i="13" s="1"/>
  <c r="E24" i="13" s="1"/>
  <c r="E23" i="13"/>
  <c r="D23" i="13"/>
  <c r="A23" i="13"/>
  <c r="D22" i="13"/>
  <c r="E22" i="13" s="1"/>
  <c r="A22" i="13"/>
  <c r="D21" i="13"/>
  <c r="E21" i="13" s="1"/>
  <c r="E20" i="13"/>
  <c r="D20" i="13"/>
  <c r="A20" i="13"/>
  <c r="D19" i="13"/>
  <c r="E19" i="13" s="1"/>
  <c r="A19" i="13"/>
  <c r="D18" i="13"/>
  <c r="E18" i="13" s="1"/>
  <c r="A18" i="13"/>
  <c r="A17" i="13"/>
  <c r="D17" i="13" s="1"/>
  <c r="E17" i="13" s="1"/>
  <c r="A16" i="13"/>
  <c r="A15" i="13"/>
  <c r="A14" i="13"/>
  <c r="A13" i="13"/>
  <c r="A12" i="13"/>
  <c r="A11" i="13"/>
  <c r="A10" i="13"/>
  <c r="A9" i="13"/>
  <c r="A7" i="13"/>
  <c r="A6" i="13"/>
  <c r="A5" i="13"/>
  <c r="A4" i="13"/>
  <c r="A3" i="13"/>
  <c r="A2" i="13"/>
</calcChain>
</file>

<file path=xl/sharedStrings.xml><?xml version="1.0" encoding="utf-8"?>
<sst xmlns="http://schemas.openxmlformats.org/spreadsheetml/2006/main" count="856" uniqueCount="728">
  <si>
    <t>1 Introduction</t>
  </si>
  <si>
    <t>The Major Transitions in Evolution</t>
  </si>
  <si>
    <t>1.1 Preamble</t>
  </si>
  <si>
    <t>John Maynard Smith</t>
  </si>
  <si>
    <t>Eors Szathmary</t>
  </si>
  <si>
    <t>1.2 The fallacy of progress</t>
  </si>
  <si>
    <t>1.3 The measurement of complexity</t>
  </si>
  <si>
    <t>1.4 The major transitions</t>
  </si>
  <si>
    <t>1.5 Duplication. symbiosis and epigenesis</t>
  </si>
  <si>
    <t>1.6 Some other features of the major transitions</t>
  </si>
  <si>
    <t>2 What is life?</t>
  </si>
  <si>
    <t>2.1 The definition of life</t>
  </si>
  <si>
    <t>2.2 The Oklo reactor</t>
  </si>
  <si>
    <t>2.3 The chemoton</t>
  </si>
  <si>
    <t>3 Chemical evolution</t>
  </si>
  <si>
    <t>3.1 Introduction</t>
  </si>
  <si>
    <t>3.2 Experiments: the primitive soup</t>
  </si>
  <si>
    <t>3.3 The hypothesis of surface metabolism: the primitive pizza</t>
  </si>
  <si>
    <t>3.4 A logical basis for autocatalysis</t>
  </si>
  <si>
    <t>3.5 Is chemical 'evolution' evolution? 34</t>
  </si>
  <si>
    <t>3.6 Evolution of metabolic networks through chemical symbiosis 35</t>
  </si>
  <si>
    <t>3.7 Chemical evolution in clouds, and the extraterrestrial contribution 36</t>
  </si>
  <si>
    <t>3.8 Conclusions</t>
  </si>
  <si>
    <t>4 The evolution of templates</t>
  </si>
  <si>
    <t>4.1 Introduction</t>
  </si>
  <si>
    <t>4.2 Replication and nucleation</t>
  </si>
  <si>
    <t>4.3 The accuracy of replication and the error threshold</t>
  </si>
  <si>
    <t>4.4 The ecology and coexistence of RNA molecules</t>
  </si>
  <si>
    <t>4.5 The hypercycle</t>
  </si>
  <si>
    <t>4.6 The stochastic corrector model</t>
  </si>
  <si>
    <t>4.7 Conclusions</t>
  </si>
  <si>
    <t>5 The chicken and egg problem 59</t>
  </si>
  <si>
    <t>5.1 Introduction 61</t>
  </si>
  <si>
    <t>5.2 RNA as an enzyme 61</t>
  </si>
  <si>
    <t>5.3 Autocatalytic protein nets 67</t>
  </si>
  <si>
    <t>5.4 The urgene: RNA, clay or something else? 72</t>
  </si>
  <si>
    <t>5.5 What determines the size of the genetic alphabet? 75</t>
  </si>
  <si>
    <t>6 The origin of translation and the genetic code 79</t>
  </si>
  <si>
    <t>6.1 Modifications of the code 81</t>
  </si>
  <si>
    <t>6.2 The origin of the code I: the top-down approach 84</t>
  </si>
  <si>
    <t>6.3 The origin of the code II: the bottom-up approach 89</t>
  </si>
  <si>
    <t>7 The origin of protocells 97</t>
  </si>
  <si>
    <t>7.1 The need for active compartmentation 99</t>
  </si>
  <si>
    <t>7.2 The origin of membranogenic molecules and membranes 99</t>
  </si>
  <si>
    <t>7.3 Spontaneous cell division 102</t>
  </si>
  <si>
    <t>7.4 The problem of membrane transport 105</t>
  </si>
  <si>
    <t>7.5 Primordial ancestry of auto trophy 106</t>
  </si>
  <si>
    <t>7.6 Metabolism in ribo-organisms: the iron-sulphur world meets the RNA world 108</t>
  </si>
  <si>
    <t>7.7 The evolution of specific enzymes 109</t>
  </si>
  <si>
    <t>7.8 The origin of the two negibacterial membranes llO</t>
  </si>
  <si>
    <t>7.9 The origin of chromosomes 114</t>
  </si>
  <si>
    <t>8 The origin of eukaryotes 119</t>
  </si>
  <si>
    <t>8.1 The problem 121</t>
  </si>
  <si>
    <t>8.2 A possible scenario 124</t>
  </si>
  <si>
    <t>8.3 The origin of intracellular membranes 125</t>
  </si>
  <si>
    <t>8.4 The origin of mitosis 126</t>
  </si>
  <si>
    <t>8.5 The nucleus, genome organization and the origin of introns 132</t>
  </si>
  <si>
    <t>8.6 The origin of mitochondria, chloroplasts and microbodies 137</t>
  </si>
  <si>
    <t>8.7 The origin of centrioles and undulipodia 142</t>
  </si>
  <si>
    <t>8.8 Timing 145</t>
  </si>
  <si>
    <t>9 The origin of sex and the nature of species 147</t>
  </si>
  <si>
    <t>9.1 Introduction 149</t>
  </si>
  <si>
    <t>9.2 Cellular mechanisms of the haploid-diploid cycle 149</t>
  </si>
  <si>
    <t>9.3 Ancient haploid-diploid cycles 1 50</t>
  </si>
  <si>
    <t>9.4 Mating types and the origin of anisogamy 1 59</t>
  </si>
  <si>
    <t>9.5 Sex and the nature of species 163</t>
  </si>
  <si>
    <t>10 Intragenomic conflict 169</t>
  </si>
  <si>
    <t>10.1 Introduction 171</t>
  </si>
  <si>
    <t>10.2 A fair meiosis 172</t>
  </si>
  <si>
    <t>10.3 Intrachromosomal repetitive DNA 176</t>
  </si>
  <si>
    <t>10.4 Avoiding conflict between organelles 182</t>
  </si>
  <si>
    <t>10.5 Distortion of sex allocation 183</t>
  </si>
  <si>
    <t>11 Symbiosis 187</t>
  </si>
  <si>
    <t>11.1 Introduction 189</t>
  </si>
  <si>
    <t>11.2 The ecology of symbiosis 189</t>
  </si>
  <si>
    <t>11.3 A model 191</t>
  </si>
  <si>
    <t>11.4 Modes of transmission 195</t>
  </si>
  <si>
    <t>11.5 Irreversibility 196</t>
  </si>
  <si>
    <t>11.6 Does symbiosis evolve towards mutualism? 196</t>
  </si>
  <si>
    <t>11.7 Evolution within a host 198</t>
  </si>
  <si>
    <t>11.8 Symbiosis, variability and sex 199</t>
  </si>
  <si>
    <t>12 Development in simple organisms 201</t>
  </si>
  <si>
    <t>12.1 The origins of development 203</t>
  </si>
  <si>
    <t>12.2 The limits of self-assembly 205</t>
  </si>
  <si>
    <t>12.3 The organization of gene action in time: the cell cycle 207</t>
  </si>
  <si>
    <t>12.4 The 'development' of a unicellular organism: budding yeast 208</t>
  </si>
  <si>
    <t>12.5 The division of labour in the origin of multicellular eukaryotes: Volvox 211</t>
  </si>
  <si>
    <t>12.6 Multicellularity through aggregation: myxobacteria and slime moulds 212</t>
  </si>
  <si>
    <t>12.7 Two mechanisms of cell differentiation 214</t>
  </si>
  <si>
    <t>13 Gene regulation and cell heredity 217</t>
  </si>
  <si>
    <t>13.1 Gene regulation 219</t>
  </si>
  <si>
    <t>13.2 Cell heredity 220</t>
  </si>
  <si>
    <t>13.3 What had to be invented? 223</t>
  </si>
  <si>
    <t>14 The development of spatial patterns 225</t>
  </si>
  <si>
    <t>14.1 Flower development as an example of morphogenesis 227</t>
  </si>
  <si>
    <t>14.2 Positional information: external specification or self-organization? 229</t>
  </si>
  <si>
    <t>14.3 Positional information in Drosophila and the chick 234</t>
  </si>
  <si>
    <t>14.4 Segmentation as an example of further elaboration 235</t>
  </si>
  <si>
    <t>14.5 From Cartesian to polar coordinates: the generation of proximodistal structures 238</t>
  </si>
  <si>
    <t>15 Development and evolution</t>
  </si>
  <si>
    <t>15.1 Introduction</t>
  </si>
  <si>
    <t>15.2 Development and the levels of selection 244</t>
  </si>
  <si>
    <t>15.3 Cell heredity and the inheritance of acquired characters 247</t>
  </si>
  <si>
    <t>15.4 Gene homology in development 250</t>
  </si>
  <si>
    <t>15.5 The zootype and the definition of animals 252</t>
  </si>
  <si>
    <t>16 The origins of societies</t>
  </si>
  <si>
    <t>16.1 Introduction</t>
  </si>
  <si>
    <t>16.2 The evolution of cooperation</t>
  </si>
  <si>
    <t>16.3 Kinds of animal society</t>
  </si>
  <si>
    <t>16.4 The genetics of insect sociality</t>
  </si>
  <si>
    <t>16.5 The division of labour in animal societies</t>
  </si>
  <si>
    <t>16.6 Factors predisposing insects to sociality</t>
  </si>
  <si>
    <t>16.7 The origins of human society</t>
  </si>
  <si>
    <t>17 The origin of language</t>
  </si>
  <si>
    <t>17.1 Introduction</t>
  </si>
  <si>
    <t>17.2 Language and representation</t>
  </si>
  <si>
    <t>17.3 Some features of syntax</t>
  </si>
  <si>
    <t>17.4 Language acquisition</t>
  </si>
  <si>
    <t>17.5 Natural selection for language</t>
  </si>
  <si>
    <t>17.6 Tool use and language: hierarchically organized sequential behaviour</t>
  </si>
  <si>
    <t>17.7 Brain damage and language disorders</t>
  </si>
  <si>
    <t>17.8 The genetics of language disorders</t>
  </si>
  <si>
    <t>17.9 Proto language</t>
  </si>
  <si>
    <t>17.10 From protolanguage to language</t>
  </si>
  <si>
    <t>17.11 Conclusions</t>
  </si>
  <si>
    <t>The Evolution of Multicellularity</t>
  </si>
  <si>
    <t>Matthew D. Herron</t>
  </si>
  <si>
    <t>Matthew D. Herron, Peter L. Conlin, and William C. Ratcliff</t>
  </si>
  <si>
    <t>Peter L. Conlin</t>
  </si>
  <si>
    <t>William C. Ratcliff</t>
  </si>
  <si>
    <t>Maureen A. O’Malley</t>
  </si>
  <si>
    <t>Richard E. Michod</t>
  </si>
  <si>
    <t>Merlijn Staps, Jordi van Gestel, and Corina E. Tarnita</t>
  </si>
  <si>
    <t>Pauline Schaap</t>
  </si>
  <si>
    <t>Marco La Fortezza, Kaitlin A. Schaal, and Gregory J. Velicer</t>
  </si>
  <si>
    <t>Israt Jahan, Tyler Larsen, Joan E. Strassmann, and David C. Queller</t>
  </si>
  <si>
    <t>Cathleen Broersma and Elizabeth A. Ostrowski</t>
  </si>
  <si>
    <t>Michelle M. Leger and Iñaki Ruiz-Trillo</t>
  </si>
  <si>
    <t>Stefania E. Kapsetaki and Roberta M. Fisher</t>
  </si>
  <si>
    <t>Aurora M. Nedelcu and Alexander N. May</t>
  </si>
  <si>
    <t>Guilhem Doulcier, Katrin Hammerschmidt, and Pierrick Bourrat</t>
  </si>
  <si>
    <t>László G. Nagy</t>
  </si>
  <si>
    <t>Susana M. Coelho and J. Mark Cock</t>
  </si>
  <si>
    <t>Liam N. Briginshaw and John L. Bowman</t>
  </si>
  <si>
    <t>Rebecka Andersson, Hanna Isaksson, and Eric Libby</t>
  </si>
  <si>
    <t>William C. Ratcliff, Peter L. Conlin, and Matthew D. Herron</t>
  </si>
  <si>
    <t>Peter Godfrey-Smith</t>
  </si>
  <si>
    <t>Charles J. Goodnight</t>
  </si>
  <si>
    <t>Ellen Clarke and Samir Okasha</t>
  </si>
  <si>
    <t>Thomas Pradeu</t>
  </si>
  <si>
    <t>Andy Gardner</t>
  </si>
  <si>
    <t>Minus van Baalen</t>
  </si>
  <si>
    <t>Philippe Huneman</t>
  </si>
  <si>
    <t>Andrew Hamilton and Jennifer Fewell</t>
  </si>
  <si>
    <t>Matt Haber</t>
  </si>
  <si>
    <t>Scott Turner</t>
  </si>
  <si>
    <t>Andrew H. Knoll and Daniel J. G. Lahr</t>
  </si>
  <si>
    <t>Karl J. Niklas and A. Keith Dunker</t>
  </si>
  <si>
    <t>Stephan G. König and Aurora M. Nedelcu</t>
  </si>
  <si>
    <t>Ottoline Leyser</t>
  </si>
  <si>
    <t>Vidyanand Nanjundiah</t>
  </si>
  <si>
    <t>Peter L. Conlin and William C. Ratcliff</t>
  </si>
  <si>
    <t>Salva Duran-Nebreda, Raúl Montañez, Adriano Bonforti, and Ricard Solé</t>
  </si>
  <si>
    <t>Iñaki Ruiz-Trillo</t>
  </si>
  <si>
    <t>Maja Adamska</t>
  </si>
  <si>
    <t>Kunihiko Kaneko</t>
  </si>
  <si>
    <t>Stuart A. Newman</t>
  </si>
  <si>
    <t>Argyris Arnellos and Alvaro Moreno</t>
  </si>
  <si>
    <t>Alan C. Love</t>
  </si>
  <si>
    <t>Levels of Organization in the Biological Sciences</t>
  </si>
  <si>
    <t>Daniel S. Brooks, James DiFrisco, and William C. Wimsatt</t>
  </si>
  <si>
    <t>William C. Wimsatt</t>
  </si>
  <si>
    <t>Daniel S. Brooks</t>
  </si>
  <si>
    <t>Angela Potochnik</t>
  </si>
  <si>
    <t>Markus I. Eronen</t>
  </si>
  <si>
    <t>James Griesemer</t>
  </si>
  <si>
    <t>James DiFrisco</t>
  </si>
  <si>
    <t>The Major Transitions in Evolution Revisited</t>
  </si>
  <si>
    <t>Brett Calcott and Kim Sterelny</t>
  </si>
  <si>
    <t>Daniel W. McShea and Carl Simpson</t>
  </si>
  <si>
    <t>Brett Calcott</t>
  </si>
  <si>
    <t>Samir Okasha</t>
  </si>
  <si>
    <t>Kim Sterelny</t>
  </si>
  <si>
    <t>Pamela Lyon</t>
  </si>
  <si>
    <t>Benjamin Kerr and Joshua Nahum</t>
  </si>
  <si>
    <t>Paul B. Rainey and Benjamin Kerr</t>
  </si>
  <si>
    <t>Carl Simpson</t>
  </si>
  <si>
    <t>Ellen Clarke</t>
  </si>
  <si>
    <t>Andrew H. Knoll and David Hewitt</t>
  </si>
  <si>
    <t>Lindell Bromham</t>
  </si>
  <si>
    <t>Eörs Szathmáry and Chrisantha Fernando</t>
  </si>
  <si>
    <t>George R. McGhee Jr.</t>
  </si>
  <si>
    <t>Bernhard Strauss</t>
  </si>
  <si>
    <t>Marta Bertolaso and Bernhard Strauss</t>
  </si>
  <si>
    <t>Thea Newman</t>
  </si>
  <si>
    <t>Sui Huang</t>
  </si>
  <si>
    <t>Ingemar Ernberg</t>
  </si>
  <si>
    <t>Peter Csermely</t>
  </si>
  <si>
    <t>Kahn Rhrissorrakrai and Laxmi Parida</t>
  </si>
  <si>
    <t>Jacob Scott, David Basanta, and Andriy Marusyk</t>
  </si>
  <si>
    <t>Kimberly J. Bussey and Paul C. W. Davies</t>
  </si>
  <si>
    <t>Larry Norton</t>
  </si>
  <si>
    <t>Roger Oria, Dhruv Thakar, and Valerie M. Weaver</t>
  </si>
  <si>
    <t>Maša Ždralević and Jacques Pouysségur</t>
  </si>
  <si>
    <t>Luca Vincenzo Cappelli, Liron Yoffe, and Giorgio Inghirami</t>
  </si>
  <si>
    <t>Courtney König and Christoph A. Klein</t>
  </si>
  <si>
    <t>Emmy W. Verschuren</t>
  </si>
  <si>
    <t>Bernhard Strauss, Marta Bertolaso, Ingemar Ernberg, and Mina J. Bissell</t>
  </si>
  <si>
    <t>Ulrich Krohs and Peter Kroes</t>
  </si>
  <si>
    <t>Mark Perlman</t>
  </si>
  <si>
    <t>Beth Preston</t>
  </si>
  <si>
    <t>Françoise Longy</t>
  </si>
  <si>
    <t>Pieter E. Vermaas</t>
  </si>
  <si>
    <t>Peter McLaughlin</t>
  </si>
  <si>
    <t>Maarten Franssen</t>
  </si>
  <si>
    <t>Paul Sheldon Davies</t>
  </si>
  <si>
    <t>Andrew Light</t>
  </si>
  <si>
    <t>Giacomo Romano</t>
  </si>
  <si>
    <t>Marzia Soavi</t>
  </si>
  <si>
    <t>Yoshinobu Kitamura and Riichiro Mizoguchi</t>
  </si>
  <si>
    <t>Wybo Houkes</t>
  </si>
  <si>
    <t>Tim Lewens</t>
  </si>
  <si>
    <t>Ulrich Krohs</t>
  </si>
  <si>
    <t>Peter Kroes</t>
  </si>
  <si>
    <t>Werner Callebaut</t>
  </si>
  <si>
    <t>Günter P.Wagner, Jason Mezey, and Raffaele Calabretta</t>
  </si>
  <si>
    <t>Robert N. Brandon</t>
  </si>
  <si>
    <t>Rasmus G.Winther</t>
  </si>
  <si>
    <t>Lee Altenberg</t>
  </si>
  <si>
    <t>Lauren Ancel Meyers and Walter Fontana</t>
  </si>
  <si>
    <t>Gerhard Schlosser</t>
  </si>
  <si>
    <t>Daniel W. McShea and Carl Anderson</t>
  </si>
  <si>
    <t>Diego Rasskin-Gutman</t>
  </si>
  <si>
    <t>Gunther J. Eble</t>
  </si>
  <si>
    <t>Roger D. K. Thomas</t>
  </si>
  <si>
    <t>Slavik V. Jablan</t>
  </si>
  <si>
    <t>Raffaele Calabretta and Domenico Parisi</t>
  </si>
  <si>
    <t>Fernand Gobet</t>
  </si>
  <si>
    <t>Boris M.Velichkovsky</t>
  </si>
  <si>
    <t>Luigi Marengo, Corrado Pasquali, and Marco Valente</t>
  </si>
  <si>
    <t>D. Kimbrough Oller</t>
  </si>
  <si>
    <t>From Groups to Individuals: Evolution and Emerging Individuality</t>
  </si>
  <si>
    <t>Frédéric Bouchard</t>
  </si>
  <si>
    <t>Multicellularity: Origins and Evolution</t>
  </si>
  <si>
    <t>Karl J. Niklas</t>
  </si>
  <si>
    <t>Convergent Evolution: Limited Forms Most Beautiful</t>
  </si>
  <si>
    <t>Rethinking Cancer: A New Paradigm for the Postgenomics Era</t>
  </si>
  <si>
    <t>Marta Bertolaso</t>
  </si>
  <si>
    <t>Mina J. Bissell</t>
  </si>
  <si>
    <t>Functions in Biological and Artificial Worlds: Comparative Philosophical Perspectives</t>
  </si>
  <si>
    <t>Modularity: Understanding the Development and Evolution of Natural Complex Systems</t>
  </si>
  <si>
    <t>MTE</t>
  </si>
  <si>
    <t>MTER</t>
  </si>
  <si>
    <t>EOM</t>
  </si>
  <si>
    <t>FGTI</t>
  </si>
  <si>
    <t>MOE</t>
  </si>
  <si>
    <t>LOBS</t>
  </si>
  <si>
    <t>CEVO</t>
  </si>
  <si>
    <t>RC</t>
  </si>
  <si>
    <t>FBAW</t>
  </si>
  <si>
    <t>MOD</t>
  </si>
  <si>
    <t>#</t>
  </si>
  <si>
    <t>Abrv</t>
  </si>
  <si>
    <t>Title</t>
  </si>
  <si>
    <t>Editor/Author</t>
  </si>
  <si>
    <t>17.1</t>
  </si>
  <si>
    <t>17.10</t>
  </si>
  <si>
    <t>I</t>
  </si>
  <si>
    <t>II</t>
  </si>
  <si>
    <t>III</t>
  </si>
  <si>
    <t>IV</t>
  </si>
  <si>
    <t/>
  </si>
  <si>
    <t>Thibaut Brunet and Nicole King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</si>
  <si>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</si>
  <si>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</si>
  <si>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</si>
  <si>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</si>
  <si>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</si>
  <si>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</si>
  <si>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</si>
  <si>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</si>
  <si>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</si>
  <si>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</si>
  <si>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</si>
  <si>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</si>
  <si>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</si>
  <si>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</si>
  <si>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</si>
  <si>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</si>
  <si>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</si>
  <si>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</si>
  <si>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S1</t>
  </si>
  <si>
    <t>S2</t>
  </si>
  <si>
    <t>S3</t>
  </si>
  <si>
    <t>S4</t>
  </si>
  <si>
    <t>S5</t>
  </si>
  <si>
    <t>Introduction: The Evolution of Multicellularity in Context</t>
  </si>
  <si>
    <t>Theory and Philosophy</t>
  </si>
  <si>
    <t>Getting at the Basics of Multicellularity</t>
  </si>
  <si>
    <t>Multi-Level Selection of the Individual Organism</t>
  </si>
  <si>
    <t>Aggregative Multicellularity</t>
  </si>
  <si>
    <t>Group Maintenance in Aggregative Multicellularity</t>
  </si>
  <si>
    <t>Group Transformation: Fruiting Body and Stalk Formation</t>
  </si>
  <si>
    <t>Clonal Multicellularity</t>
  </si>
  <si>
    <t>Phylogenetics of Clonal Multicellularity</t>
  </si>
  <si>
    <t>Life Cycles and Complex Multicellularity</t>
  </si>
  <si>
    <t>Convergent Evolution of Complex Multicellularity in Fungi</t>
  </si>
  <si>
    <t>The Evolution of Complex Multicellularity in Streptophytes</t>
  </si>
  <si>
    <t>Multi-Species Multicellular Life Cycles</t>
  </si>
  <si>
    <t>Synthesis and Conclusions</t>
  </si>
  <si>
    <t>Conclusion: The Future of Multicellularity Research</t>
  </si>
  <si>
    <t>Life Cycles as a Central Organizing Theme for Studying Multicellularity</t>
  </si>
  <si>
    <t>Eukaryote Aggregative Multicellularity: Phylogenetic Distribution and a Case Study of Its Proximate and Ultimate Cause in Dictyostelia</t>
  </si>
  <si>
    <t>Group Formation: On the Evolution of Aggregative Multicellularity</t>
  </si>
  <si>
    <t>Group Formation: Hypotheses for the Evolution of Clonal Multicellularity</t>
  </si>
  <si>
    <t>Group Maintenance in Clonal Multicellularity: Controlling Intra-organismal Evolution</t>
  </si>
  <si>
    <t>Group Transformation: Life History Trade-offs, Division of Labor, and Evolutionary Transitions in Individuality</t>
  </si>
  <si>
    <t>The Single-Celled Ancestors of Animals: A History of Hypotheses</t>
  </si>
  <si>
    <t>Genetic and Developmental Mechanisms of Cellular Differentiation in Algae</t>
  </si>
  <si>
    <t>The Miscellaneous Transitions in Evolution</t>
  </si>
  <si>
    <t>Alternative Patterns of Explanation for Major Transitions</t>
  </si>
  <si>
    <t>Darwinian Populations and Transitions in Individuality</t>
  </si>
  <si>
    <t>Evolvability Reconsidered</t>
  </si>
  <si>
    <t>Evolutionary Transitions in Individuality: Multicellularity and Sex</t>
  </si>
  <si>
    <t>Plant Individuality and Multilevel Selection Theory</t>
  </si>
  <si>
    <t>Concluding Remarks</t>
  </si>
  <si>
    <t>Introduction: A Dynamic View of Evolution</t>
  </si>
  <si>
    <t>A Big Picture of Big Pictures of Life’s History</t>
  </si>
  <si>
    <t>The Prokaryote’s Tale</t>
  </si>
  <si>
    <t>Conflicts among Levels of Selection as Fuel for the Evolution of Individuality</t>
  </si>
  <si>
    <t>Complexity and the Developmental Cycle</t>
  </si>
  <si>
    <t>How Many Levels Are There? How Insights from Evolutionary Transitions in Individuality Help to Measure the Hierarchical Complexity of Life</t>
  </si>
  <si>
    <t>Biological Ontology and Hierarchical Organization: A Defense of Rank Freedom</t>
  </si>
  <si>
    <t>To Be or Not To Be: Where Is Self-Preservation in Evolutionary Theory?</t>
  </si>
  <si>
    <t>The Evolution of Restraint in Structured Populations: Setting the Stage for an Egalitarian Major Transition</t>
  </si>
  <si>
    <t>Phylogenetic, Functional, and Geological Perspectives on Complex Multicellularity</t>
  </si>
  <si>
    <t>The Small Picture Approach to the Big Picture: Using DNA Sequences to Investigate the Diversification of Animal Body Plans</t>
  </si>
  <si>
    <t>ORGANISMS AND INDIVIDUALITY</t>
  </si>
  <si>
    <t>Darwinian Individuals</t>
  </si>
  <si>
    <t>Defining the Individual</t>
  </si>
  <si>
    <t>Species and Organisms: What Are the Problems?</t>
  </si>
  <si>
    <t>Immunity and the Emergence of Individuality</t>
  </si>
  <si>
    <t>ADAPTATION AND COMPLEX INDIVIDUALS</t>
  </si>
  <si>
    <t>Adaptation of Individuals and Groups</t>
  </si>
  <si>
    <t>The Unit of Adaptation, the Emergence of Individuality, and the Loss of Evolutionary Sovereignty</t>
  </si>
  <si>
    <t>Adaptations in Transitions: How to Make Sense of Adaptation When Beneficiaries Emerge Simultaneously with Benefits?</t>
  </si>
  <si>
    <t>GROUPS AND COLLECTIVES AS INDIVIDUALS</t>
  </si>
  <si>
    <t>Groups, Individuals, and the Emergence of Sociality: The Case of Division of Labor</t>
  </si>
  <si>
    <t>Colonies Are Individuals: Revisiting the Superorganism Revival</t>
  </si>
  <si>
    <t>Superorganisms and Superindividuality: The Emergence of Individuality in a Social Insect Assemblage</t>
  </si>
  <si>
    <t>What Is a Symbiotic Superindividual and How Do You Measure Its Fitness?</t>
  </si>
  <si>
    <t>Juan Antonio Arias del Angel, Eugenio Azpeitia, Mariana Benítez, Ana E. Escalante, Valeria Hernández-Hernández, and Emilio Mora Van Cauwelaert</t>
  </si>
  <si>
    <t xml:space="preserve">V </t>
  </si>
  <si>
    <t>FUNCTIONAL AND MOLECULAR PREDISPOSITIONS TO MULTICELLULARITY</t>
  </si>
  <si>
    <t>Fossils, Feeding, and the Evolution of Complex Multicellularity</t>
  </si>
  <si>
    <t>Alternative Splicing, Intrinsically Disordered Proteins, Calmodulin, and the Evolution of Multicellularity</t>
  </si>
  <si>
    <t>The Mechanistic Basis for the Evolution of Soma during the Transition to Multicellularity in the Volvocine Algae</t>
  </si>
  <si>
    <t>Physicochemical Factors in the Organization of Multicellular Aggregates and Plants</t>
  </si>
  <si>
    <t>Angiosperm Multicellularity: The Whole, the Parts, and the Sum</t>
  </si>
  <si>
    <t>Cellular Slime Mold Development as a Paradigm for the Transition from Unicellular to Multicellular Life</t>
  </si>
  <si>
    <t>Trade-offs Drive the Evolution of Increased Complexity in Nascent Multicellular Digital Organisms</t>
  </si>
  <si>
    <t>The Paths to Artificial Multicellularity: From Physics to Evolution</t>
  </si>
  <si>
    <t>What Are the Genomes of Premetazoan Lineages Telling Us about the Origin of Metazoa?</t>
  </si>
  <si>
    <t>Sponges as the Rosetta Stone of Colonial-to-Multicellular Transition</t>
  </si>
  <si>
    <t>A Scenario for the Origin of Multicellular Organisms: Perspective from Multilevel Consistency Dynamics</t>
  </si>
  <si>
    <t>Multicellularity, the Emergence of Animal Body Plans, and the Stabilizing Role of the Egg</t>
  </si>
  <si>
    <t>Integrating Constitution and Interaction in the Transition from Unicellular to Multicellular Organisms</t>
  </si>
  <si>
    <t>Explaining the Origins of Multicellularity: Between Evolutionary Dynamics and Developmental Mechanisms</t>
  </si>
  <si>
    <t>PLANTS AND RELATED THEORY</t>
  </si>
  <si>
    <t>AMOEBOZOA, FUNGI, AND RELATED THEORY</t>
  </si>
  <si>
    <t>METAZOA AND RELATED THEORY</t>
  </si>
  <si>
    <t>PHILOSOPHICAL ASPECTS OF MULTICELLULARITY</t>
  </si>
  <si>
    <t>Levels, Robustness, Emergence, and Heterogeneous Dynamics: Finding Partial Organization in Causal Thickets</t>
  </si>
  <si>
    <t>Levels of Organization as Tool and Doctrine in Biology</t>
  </si>
  <si>
    <t>Our World Isn’t Organized into Levels</t>
  </si>
  <si>
    <t>Levels, Nests, and Branches: Compositional Organization and Downward Causation in Biology</t>
  </si>
  <si>
    <t>Levels, Perspectives, and Thickets: Toward an Ontology of Complex Scaffolded Living Systems</t>
  </si>
  <si>
    <t xml:space="preserve">Integrating Composition and Process in Levels of Developmental Evolution </t>
  </si>
  <si>
    <t xml:space="preserve">Manipulating Levels of Organization </t>
  </si>
  <si>
    <t>Introduction: Levels of Organization: The Architecture of the Scientific Image</t>
  </si>
  <si>
    <t>App</t>
  </si>
  <si>
    <t>References</t>
  </si>
  <si>
    <t>Index of Common Names</t>
  </si>
  <si>
    <t>Index of Species</t>
  </si>
  <si>
    <t>Index of Topics</t>
  </si>
  <si>
    <t>What Is Convergent Evolution?</t>
  </si>
  <si>
    <t>Recognizing Convergent Evolution</t>
  </si>
  <si>
    <t>Convergent Evolution versus Parallel Evolution?</t>
  </si>
  <si>
    <t>Evolutionary Constraint and Convergent Evolution</t>
  </si>
  <si>
    <t>On the Organization of This Book</t>
  </si>
  <si>
    <t>Convergent Animals</t>
  </si>
  <si>
    <t>Locomotion</t>
  </si>
  <si>
    <t>Carnivores: Prey Detection</t>
  </si>
  <si>
    <t>Carnivores: Prey Capture</t>
  </si>
  <si>
    <t>Herbivores: Plant Processing</t>
  </si>
  <si>
    <t>Defense: Antipredator Adaptations</t>
  </si>
  <si>
    <t>Organ Systems</t>
  </si>
  <si>
    <t>Reproduction</t>
  </si>
  <si>
    <t>Convergent Plants</t>
  </si>
  <si>
    <t>Arborescence</t>
  </si>
  <si>
    <t>Photoautotrophs: Light Capture</t>
  </si>
  <si>
    <t>Photoautotrophs: Carbon Processing</t>
  </si>
  <si>
    <t>Defense: Antiherbivore Adaptations</t>
  </si>
  <si>
    <t>Defense: Antidehydration Adaptations</t>
  </si>
  <si>
    <t>Convergent Ecosystems</t>
  </si>
  <si>
    <t>One Ecological Role, Many Convergent Players</t>
  </si>
  <si>
    <t>One Ecosystem Play, Many Convergent Casts of Actors</t>
  </si>
  <si>
    <t>Isochronous and Heterochronous Ecosystem Convergence</t>
  </si>
  <si>
    <t>A Periodic Table of Niches?</t>
  </si>
  <si>
    <t>Convergent Molecules</t>
  </si>
  <si>
    <t>Convergent Molecules?</t>
  </si>
  <si>
    <t>DNA</t>
  </si>
  <si>
    <t>Proteins and Protein Functions</t>
  </si>
  <si>
    <t>Enzymes and Enzyme Functions</t>
  </si>
  <si>
    <t>Convergent Evolution of Cellular and Tissue Structures?</t>
  </si>
  <si>
    <t>Convergent Minds</t>
  </si>
  <si>
    <t>Convergent Minds?</t>
  </si>
  <si>
    <t>Problem-Solving Behavior</t>
  </si>
  <si>
    <t>Group Behavior</t>
  </si>
  <si>
    <t>Convergent Mentalities</t>
  </si>
  <si>
    <t>Functional and Developmental Constraint in Convergent Evolution</t>
  </si>
  <si>
    <t>Convergent Evolution in Theoretical Morphospace</t>
  </si>
  <si>
    <t>Life as We Know It</t>
  </si>
  <si>
    <t>Life as We Do Not Know It</t>
  </si>
  <si>
    <t>A Periodic Table of Life?</t>
  </si>
  <si>
    <t>Philosophical Implications of Convergent Evolution</t>
  </si>
  <si>
    <t>The Argument for Unpredictability: Creative Freedom or Chaotic Randomness?</t>
  </si>
  <si>
    <t>The Argument for Predictability: Comforting Certainty or Depressing Inevitability?</t>
  </si>
  <si>
    <t>Judging the Arguments: Evolutionary Views on Trial</t>
  </si>
  <si>
    <t>The Question of Extraterrestrial Life</t>
  </si>
  <si>
    <t>In Conclusion: A Rewrite of Darwin's View of Life</t>
  </si>
  <si>
    <t>Appendix: A Phylogenetic Classification of Life</t>
  </si>
  <si>
    <t>Introduction and Overview</t>
  </si>
  <si>
    <t>REDEFINING THE PROBLEM: THE THEORY DIMENSION OF CANCER</t>
  </si>
  <si>
    <t>The Search for Progress and a New Theory Framework in Cancer Research</t>
  </si>
  <si>
    <t>Cancer as a System: Hard Lessons from Physics and a Way Forward</t>
  </si>
  <si>
    <t>The Logic of Cancer Treatment: Why It Is So Hard to Cure Cancer; Treatment- Induced Progression, Hyper-Progression, and the Nietzsche Effect</t>
  </si>
  <si>
    <t>The Cell Attractor Concept as a Tool to Advance Our Understanding of Cancer</t>
  </si>
  <si>
    <t>Adaptation of Molecular Interaction Networks in Cancer Cells</t>
  </si>
  <si>
    <t>The Role of Genomic Dark Matter in Cancer: Using AI to Shine a Light on It; Why Cancer Genes Are Not the Whole Story</t>
  </si>
  <si>
    <t>THE TIME DIMENSION OF CANCER</t>
  </si>
  <si>
    <t>Darwinism, Not Mutationalism, for New Cancer Therapies</t>
  </si>
  <si>
    <t>Cancer as a Reversion to an Ancestral Phenotype</t>
  </si>
  <si>
    <t>Time and Timing in Oncology: What Therapy Scheduling Can Teach Us about Cancer Biology</t>
  </si>
  <si>
    <t>THE MICRO-/ENVIRONMENT DIMENSION OF CANCER</t>
  </si>
  <si>
    <t>Tissue Tension Modulates Metabolism and Chromatin Organization to Promote Malignancy</t>
  </si>
  <si>
    <t>Cancer Metabolism and Therapeutic Perspectives: Exploiting Acidic, Nutritional, and Oxidative Stresses</t>
  </si>
  <si>
    <t>Corrupted Vascular Tumor Niches Confer Aggressiveness and Chemoresistance to Neoplastic Cells</t>
  </si>
  <si>
    <t>Metastasis as a Tug of War between Cell Autonomy and Microenvironmental Control: Readdressing Unresolved Questions in Cancer Metastasis</t>
  </si>
  <si>
    <t>Niche Reconstruction to Revert or Transcend the Cancer State</t>
  </si>
  <si>
    <t>WHAT NEXT?</t>
  </si>
  <si>
    <t>V</t>
  </si>
  <si>
    <t>THE SYSTEMS DIMENSION OF CANCER</t>
  </si>
  <si>
    <t>INTRODUCTION</t>
  </si>
  <si>
    <t>Philosophical Perspectives on Organismic and Artifactual Functions</t>
  </si>
  <si>
    <t>BRIDGING FUNCTIONS OF ORGANISMS AND ARTIFACTS</t>
  </si>
  <si>
    <t>Changing the Mission of Theories of Teleology: DOs and DON’Ts for Thinking About Function</t>
  </si>
  <si>
    <t>Biological and Cultural Proper Functions in Comparative Perspective</t>
  </si>
  <si>
    <t>How Biological, Cultural, and Intended Functions Combine</t>
  </si>
  <si>
    <t>FUNCTIONS AND NORMATIVITY</t>
  </si>
  <si>
    <t>Functions and Norms</t>
  </si>
  <si>
    <t>The Inherent Normativity of Functions in Biology and Technology</t>
  </si>
  <si>
    <t>Conceptual Conservatism: The Case of Normative Functions</t>
  </si>
  <si>
    <t>Ecological Restoration: From Functional Descriptions to Normative Prescriptions</t>
  </si>
  <si>
    <t>FUNCTIONS AND CLASSIFICATION</t>
  </si>
  <si>
    <t>Being For: A Philosophical Hypothesis About the Structure of Functional Knowledge</t>
  </si>
  <si>
    <t>Realism and Artifact Kinds</t>
  </si>
  <si>
    <t>A Device-Oriented Definition of Functions of Artifacts and Its Perspectives</t>
  </si>
  <si>
    <t>EVOLUTIONARY PERSPECTIVES</t>
  </si>
  <si>
    <t>The Open Border: Two Cases of Concept Transfer from Organisms to Artifacts</t>
  </si>
  <si>
    <t>Innovation and Population</t>
  </si>
  <si>
    <t>The Cost of Modularity</t>
  </si>
  <si>
    <t>Technical Artifacts, Engineering Practice, and Emergence</t>
  </si>
  <si>
    <t>Angela D. Buscalioni, Alicia de la Iglesia, Rafael Delgado-Buscalioni, and Anne Dejoan</t>
  </si>
  <si>
    <t>The Ubiquity of Modularity</t>
  </si>
  <si>
    <t>EVO-DEVO: THE MAKING OF A MODULAR WORLD</t>
  </si>
  <si>
    <t>Natural Selection and the Origin of Modules</t>
  </si>
  <si>
    <t>Evolutionary Modules: Conceptual Analyses and Empirical Hypotheses</t>
  </si>
  <si>
    <t>Evolutionary Developmental Biology Meets Levels of Selection: Modular Integration or Competition, or Both?</t>
  </si>
  <si>
    <t>Modularity in Evolution: Some Low-Level Questions</t>
  </si>
  <si>
    <t>Evolutionary Lock-In and the Origin of Modularity in RNA Structure</t>
  </si>
  <si>
    <t>Amphibian Variations: The Role of Modules in Mosaic Evolution</t>
  </si>
  <si>
    <t>The Remodularization of the Organism</t>
  </si>
  <si>
    <t>Modularity: Jumping Forms within Morphospace</t>
  </si>
  <si>
    <t>Morphological Modularity and Macroevolution: Conceptual and Empirical Aspects</t>
  </si>
  <si>
    <t>Hierarchical Integration of Modular Structures in the Evolution of Animal Skeletons</t>
  </si>
  <si>
    <t>Modularity in Art</t>
  </si>
  <si>
    <t>Modularity at the Boundary Between Art and Science</t>
  </si>
  <si>
    <t>MODULARITY OF MIND AND CULTURE</t>
  </si>
  <si>
    <t>Evolutionary Connectionism and Mind/Brain Modularity</t>
  </si>
  <si>
    <t>Modularity and Chunking</t>
  </si>
  <si>
    <t>Modularity of Cognitive Organization: Why It Is so Appealing and Why It Is Wrong</t>
  </si>
  <si>
    <t>Decomposability and Modularity of Economic Interactions</t>
  </si>
  <si>
    <t>The Natural Logic of Communicative Possibilities: Modularity and Presupposition</t>
  </si>
  <si>
    <t>1.1</t>
  </si>
  <si>
    <t>1.2</t>
  </si>
  <si>
    <t>1.3</t>
  </si>
  <si>
    <t>1.4</t>
  </si>
  <si>
    <t>1.5</t>
  </si>
  <si>
    <t>1.6</t>
  </si>
  <si>
    <t>2.1</t>
  </si>
  <si>
    <t>2.2</t>
  </si>
  <si>
    <t>2.3</t>
  </si>
  <si>
    <t>3.1</t>
  </si>
  <si>
    <t>3.2</t>
  </si>
  <si>
    <t>3.3</t>
  </si>
  <si>
    <t>3.4</t>
  </si>
  <si>
    <t>3.5</t>
  </si>
  <si>
    <t>3.6</t>
  </si>
  <si>
    <t>3.7</t>
  </si>
  <si>
    <t>3.8</t>
  </si>
  <si>
    <t>4.1</t>
  </si>
  <si>
    <t>4.2</t>
  </si>
  <si>
    <t>4.3</t>
  </si>
  <si>
    <t>4.4</t>
  </si>
  <si>
    <t>4.5</t>
  </si>
  <si>
    <t>4.6</t>
  </si>
  <si>
    <t>4.7</t>
  </si>
  <si>
    <t>5.1</t>
  </si>
  <si>
    <t>5.2</t>
  </si>
  <si>
    <t>5.3</t>
  </si>
  <si>
    <t>5.4</t>
  </si>
  <si>
    <t>5.5</t>
  </si>
  <si>
    <t>6.1</t>
  </si>
  <si>
    <t>6.2</t>
  </si>
  <si>
    <t>6.3</t>
  </si>
  <si>
    <t>7.1</t>
  </si>
  <si>
    <t>7.2</t>
  </si>
  <si>
    <t>7.3</t>
  </si>
  <si>
    <t>7.4</t>
  </si>
  <si>
    <t>7.5</t>
  </si>
  <si>
    <t>7.6</t>
  </si>
  <si>
    <t>7.7</t>
  </si>
  <si>
    <t>7.8</t>
  </si>
  <si>
    <t>7.9</t>
  </si>
  <si>
    <t>8.1</t>
  </si>
  <si>
    <t>8.2</t>
  </si>
  <si>
    <t>8.3</t>
  </si>
  <si>
    <t>8.4</t>
  </si>
  <si>
    <t>8.5</t>
  </si>
  <si>
    <t>8.6</t>
  </si>
  <si>
    <t>8.7</t>
  </si>
  <si>
    <t>8.8</t>
  </si>
  <si>
    <t>9.1</t>
  </si>
  <si>
    <t>9.2</t>
  </si>
  <si>
    <t>9.3</t>
  </si>
  <si>
    <t>9.4</t>
  </si>
  <si>
    <t>9.5</t>
  </si>
  <si>
    <t xml:space="preserve">10 </t>
  </si>
  <si>
    <t>10.1</t>
  </si>
  <si>
    <t>10.2</t>
  </si>
  <si>
    <t>10.3</t>
  </si>
  <si>
    <t>10.4</t>
  </si>
  <si>
    <t>10.5</t>
  </si>
  <si>
    <t>11 S</t>
  </si>
  <si>
    <t>11.1</t>
  </si>
  <si>
    <t>11.2</t>
  </si>
  <si>
    <t>11.3</t>
  </si>
  <si>
    <t>11.4</t>
  </si>
  <si>
    <t>11.5</t>
  </si>
  <si>
    <t>11.6</t>
  </si>
  <si>
    <t>11.7</t>
  </si>
  <si>
    <t>11.8</t>
  </si>
  <si>
    <t>12.1</t>
  </si>
  <si>
    <t>12.2</t>
  </si>
  <si>
    <t>12.3</t>
  </si>
  <si>
    <t>12.4</t>
  </si>
  <si>
    <t>12.5</t>
  </si>
  <si>
    <t>12.6</t>
  </si>
  <si>
    <t>12.7</t>
  </si>
  <si>
    <t>13.1</t>
  </si>
  <si>
    <t>13.2</t>
  </si>
  <si>
    <t>13.3</t>
  </si>
  <si>
    <t>14.1</t>
  </si>
  <si>
    <t>14.2</t>
  </si>
  <si>
    <t>14.3</t>
  </si>
  <si>
    <t>14.4</t>
  </si>
  <si>
    <t>14.5</t>
  </si>
  <si>
    <t>15.1</t>
  </si>
  <si>
    <t>15.2</t>
  </si>
  <si>
    <t>15.3</t>
  </si>
  <si>
    <t>15.4</t>
  </si>
  <si>
    <t>15.5</t>
  </si>
  <si>
    <t>16.1</t>
  </si>
  <si>
    <t>16.2</t>
  </si>
  <si>
    <t>16.3</t>
  </si>
  <si>
    <t>16.4</t>
  </si>
  <si>
    <t>16.5</t>
  </si>
  <si>
    <t>16.6</t>
  </si>
  <si>
    <t>16.7</t>
  </si>
  <si>
    <t>17.2</t>
  </si>
  <si>
    <t>17.3</t>
  </si>
  <si>
    <t>17.4</t>
  </si>
  <si>
    <t>17.5</t>
  </si>
  <si>
    <t>17.6</t>
  </si>
  <si>
    <t>17.7</t>
  </si>
  <si>
    <t>17.8</t>
  </si>
  <si>
    <t>17.9</t>
  </si>
  <si>
    <t>Is chemical 'evolution' evolution?</t>
  </si>
  <si>
    <t>Evolution of metabolic networks through chemical symbiosis</t>
  </si>
  <si>
    <t>Chemical evolution in clouds, and the extraterrestrial contribution</t>
  </si>
  <si>
    <t>Introduction</t>
  </si>
  <si>
    <t>Preamble</t>
  </si>
  <si>
    <t>The fallacy of progress</t>
  </si>
  <si>
    <t>The measurement of complexity</t>
  </si>
  <si>
    <t>The major transitions</t>
  </si>
  <si>
    <t>Duplication. symbiosis and epigenesis</t>
  </si>
  <si>
    <t>Some other features of the major transitions</t>
  </si>
  <si>
    <t>What is life?</t>
  </si>
  <si>
    <t>The definition of life</t>
  </si>
  <si>
    <t>The Oklo reactor</t>
  </si>
  <si>
    <t>The chemoton</t>
  </si>
  <si>
    <t>Experiments: the primitive soup</t>
  </si>
  <si>
    <t>The hypothesis of surface metabolism: the primitive pizza</t>
  </si>
  <si>
    <t>A logical basis for autocatalysis</t>
  </si>
  <si>
    <t>Conclusions</t>
  </si>
  <si>
    <t>The evolution of templates</t>
  </si>
  <si>
    <t>Replication and nucleation</t>
  </si>
  <si>
    <t>The accuracy of replication and the error threshold</t>
  </si>
  <si>
    <t>The ecology and coexistence of RNA molecules</t>
  </si>
  <si>
    <t>The hypercycle</t>
  </si>
  <si>
    <t>The stochastic corrector model</t>
  </si>
  <si>
    <t>The chicken and egg problem</t>
  </si>
  <si>
    <t>RNA as an enzyme</t>
  </si>
  <si>
    <t>Autocatalytic protein nets</t>
  </si>
  <si>
    <t>The urgene: RNA, clay or something else?</t>
  </si>
  <si>
    <t>What determines the size of the genetic alphabet?</t>
  </si>
  <si>
    <t>Modifications of the code</t>
  </si>
  <si>
    <t>The origin of the code I: the top-down approach</t>
  </si>
  <si>
    <t>The origin of the code II: the bottom-up approach</t>
  </si>
  <si>
    <t>The origin of protocells</t>
  </si>
  <si>
    <t>The need for active compartmentation</t>
  </si>
  <si>
    <t>The origin of membranogenic molecules and membranes</t>
  </si>
  <si>
    <t>Spontaneous cell division</t>
  </si>
  <si>
    <t>The problem of membrane transport</t>
  </si>
  <si>
    <t>Primordial ancestry of auto trophy</t>
  </si>
  <si>
    <t>Metabolism in ribo-organisms: the iron-sulphur world meets the RNA world</t>
  </si>
  <si>
    <t>The evolution of specific enzymes</t>
  </si>
  <si>
    <t>The origin of the two negibacterial membranes</t>
  </si>
  <si>
    <t>The origin of chromosomes</t>
  </si>
  <si>
    <t>The origin of eukaryotes</t>
  </si>
  <si>
    <t>The problem</t>
  </si>
  <si>
    <t>A possible scenario</t>
  </si>
  <si>
    <t>The origin of intracellular membranes</t>
  </si>
  <si>
    <t>The origin of mitosis</t>
  </si>
  <si>
    <t>The nucleus, genome organization and the origin of introns</t>
  </si>
  <si>
    <t>The origin of mitochondria, chloroplasts and microbodies</t>
  </si>
  <si>
    <t>The origin of centrioles and undulipodia</t>
  </si>
  <si>
    <t>Timing</t>
  </si>
  <si>
    <t>The origin of sex and the nature of species</t>
  </si>
  <si>
    <t>Cellular mechanisms of the haploid-diploid cycle</t>
  </si>
  <si>
    <t xml:space="preserve">Ancient haploid-diploid cycles </t>
  </si>
  <si>
    <t xml:space="preserve">Mating types and the origin of anisogamy </t>
  </si>
  <si>
    <t>Sex and the nature of species</t>
  </si>
  <si>
    <t>A fair meiosis</t>
  </si>
  <si>
    <t>Intrachromosomal repetitive DNA</t>
  </si>
  <si>
    <t>Avoiding conflict between organelles</t>
  </si>
  <si>
    <t>Distortion of sex allocation</t>
  </si>
  <si>
    <t>mbiosis</t>
  </si>
  <si>
    <t>The ecology of symbiosis</t>
  </si>
  <si>
    <t>A model</t>
  </si>
  <si>
    <t>Modes of transmission</t>
  </si>
  <si>
    <t>Irreversibility</t>
  </si>
  <si>
    <t>Does symbiosis evolve towards mutualism?</t>
  </si>
  <si>
    <t>Evolution within a host</t>
  </si>
  <si>
    <t>Symbiosis, variability and sex</t>
  </si>
  <si>
    <t>Development in simple organisms</t>
  </si>
  <si>
    <t>The origins of development</t>
  </si>
  <si>
    <t>The limits of self-assembly</t>
  </si>
  <si>
    <t>The organization of gene action in time: the cell cycle</t>
  </si>
  <si>
    <t>The 'development' of a unicellular organism: budding yeast</t>
  </si>
  <si>
    <t>The division of labour in the origin of multicellular eukaryotes: Volvox</t>
  </si>
  <si>
    <t>Multicellularity through aggregation: myxobacteria and slime moulds</t>
  </si>
  <si>
    <t>Two mechanisms of cell differentiation</t>
  </si>
  <si>
    <t>Gene regulation and cell heredity</t>
  </si>
  <si>
    <t>Gene regulation</t>
  </si>
  <si>
    <t>Cell heredity</t>
  </si>
  <si>
    <t>What had to be invented?</t>
  </si>
  <si>
    <t>The development of spatial patterns</t>
  </si>
  <si>
    <t>Flower development as an example of morphogenesis</t>
  </si>
  <si>
    <t>Positional information: external specification or self-organization?</t>
  </si>
  <si>
    <t>Positional information in Drosophila and the chick</t>
  </si>
  <si>
    <t>Segmentation as an example of further elaboration</t>
  </si>
  <si>
    <t>From Cartesian to polar coordinates: the generation of proximodistal structures</t>
  </si>
  <si>
    <t>The origin of translation and the genetic code</t>
  </si>
  <si>
    <t>Development and the levels of selection</t>
  </si>
  <si>
    <t>Cell heredity and the inheritance of acquired characters</t>
  </si>
  <si>
    <t>Gene homology in development</t>
  </si>
  <si>
    <t>The zootype and the definition of animals</t>
  </si>
  <si>
    <t>The origins of societies</t>
  </si>
  <si>
    <t>The evolution of cooperation</t>
  </si>
  <si>
    <t>Kinds of animal society</t>
  </si>
  <si>
    <t>The genetics of insect sociality</t>
  </si>
  <si>
    <t>The division of labour in animal societies</t>
  </si>
  <si>
    <t>Factors predisposing insects to sociality</t>
  </si>
  <si>
    <t>The origins of human society</t>
  </si>
  <si>
    <t>The origin of language</t>
  </si>
  <si>
    <t>Language and representation</t>
  </si>
  <si>
    <t>Some features of syntax</t>
  </si>
  <si>
    <t>Language acquisition</t>
  </si>
  <si>
    <t>Natural selection for language</t>
  </si>
  <si>
    <t>Tool use and language: hierarchically organized sequential behaviour</t>
  </si>
  <si>
    <t>Brain damage and language disorders</t>
  </si>
  <si>
    <t>The genetics of language disorders</t>
  </si>
  <si>
    <t>Proto language</t>
  </si>
  <si>
    <t>From protolanguage to language</t>
  </si>
  <si>
    <t>Jan Baedke</t>
  </si>
  <si>
    <t>James Woodward</t>
  </si>
  <si>
    <t>Sara Green</t>
  </si>
  <si>
    <t>Robert W. Batterman</t>
  </si>
  <si>
    <t>Carl Gillett</t>
  </si>
  <si>
    <t>Thomas A. C. Reydon</t>
  </si>
  <si>
    <t>Jon Umerez</t>
  </si>
  <si>
    <t>Ilya Tëmkin</t>
  </si>
  <si>
    <t>The Origin of New Levels of Organization</t>
  </si>
  <si>
    <t>Downward Causation and Levels</t>
  </si>
  <si>
    <t>Cancer beyond Genetics: On the Practical Implications of Downward Causation</t>
  </si>
  <si>
    <t>Using Compositional Explanations to Understand Compositional Levels: An Integrative Account</t>
  </si>
  <si>
    <t>Functional Kinds and the Metaphysics of Functional Levels: In What Sense Are Functionally Defined Kinds and Levels Nonarbitrary?</t>
  </si>
  <si>
    <t>Multiscale Modeling in Inactive and Active Materials</t>
  </si>
  <si>
    <t>Control Hierarchies: Pattee’s Approach to Function and Control as Time-Dependent Constraints</t>
  </si>
  <si>
    <t>Phenomenological Levels in Biological and Cultural Evolution</t>
  </si>
  <si>
    <t>Chemical evolution</t>
  </si>
  <si>
    <t>On Unification: Taking Technical Functions as Objective (and Biological Functions as Subjective)</t>
  </si>
  <si>
    <t>Mimicry, Camouflage, and Convergent Evolution</t>
  </si>
  <si>
    <t>EVO-PATTERNS: WORKING TOWARD A GRAMMAR OF FORMS</t>
  </si>
  <si>
    <t>Intragenomic conflict</t>
  </si>
  <si>
    <t>Development and evolution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</si>
</sst>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12">
    <xf numFmtId="0" fontId="0" fillId="0" borderId="0" xfId="0"/>
    <xf numFmtId="0" fontId="4" fillId="0" borderId="0" xfId="0" applyFont="1"/>
    <xf numFmtId="0" fontId="3" fillId="0" borderId="0" xfId="0" quotePrefix="1" applyFont="1"/>
    <xf numFmtId="0" fontId="3" fillId="0" borderId="0" xfId="0" applyFont="1"/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quotePrefix="1" applyFont="1" applyAlignment="1">
      <alignment horizontal="left" vertical="center"/>
    </xf>
    <xf numFmtId="0" fontId="0" fillId="0" borderId="0" xfId="0" applyAlignment="1">
      <alignment horizontal="right" vertical="center"/>
    </xf>
    <xf numFmtId="0" fontId="2" fillId="0" borderId="0" xfId="0" applyFont="1"/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FC4AD-C6A0-46B8-9467-B2C6807406E7}">
  <dimension ref="A1:G11"/>
  <sheetViews>
    <sheetView workbookViewId="0">
      <selection activeCell="D19" sqref="D19"/>
    </sheetView>
  </sheetViews>
  <sheetFormatPr defaultRowHeight="14.5"/>
  <cols>
    <col min="1" max="1" width="2.81640625" bestFit="1" customWidth="1"/>
    <col min="2" max="2" width="5.81640625" bestFit="1" customWidth="1"/>
    <col min="3" max="3" width="77.453125" customWidth="1"/>
    <col min="4" max="6" width="20" customWidth="1"/>
    <col min="7" max="7" width="12.90625" customWidth="1"/>
  </cols>
  <sheetData>
    <row r="1" spans="1:7">
      <c r="A1" s="1" t="s">
        <v>261</v>
      </c>
      <c r="B1" s="1" t="s">
        <v>262</v>
      </c>
      <c r="C1" s="1" t="s">
        <v>263</v>
      </c>
      <c r="D1" s="1" t="s">
        <v>264</v>
      </c>
    </row>
    <row r="2" spans="1:7">
      <c r="A2" s="1">
        <v>1</v>
      </c>
      <c r="B2" t="s">
        <v>251</v>
      </c>
      <c r="C2" t="s">
        <v>1</v>
      </c>
      <c r="D2" t="s">
        <v>3</v>
      </c>
      <c r="E2" t="s">
        <v>4</v>
      </c>
    </row>
    <row r="3" spans="1:7">
      <c r="A3" s="1">
        <v>2</v>
      </c>
      <c r="B3" t="s">
        <v>252</v>
      </c>
      <c r="C3" t="s">
        <v>177</v>
      </c>
      <c r="D3" t="s">
        <v>180</v>
      </c>
      <c r="E3" t="s">
        <v>182</v>
      </c>
    </row>
    <row r="4" spans="1:7">
      <c r="A4" s="1">
        <v>3</v>
      </c>
      <c r="B4" t="s">
        <v>253</v>
      </c>
      <c r="C4" t="s">
        <v>125</v>
      </c>
      <c r="D4" t="s">
        <v>126</v>
      </c>
      <c r="E4" t="s">
        <v>128</v>
      </c>
      <c r="F4" t="s">
        <v>129</v>
      </c>
    </row>
    <row r="5" spans="1:7">
      <c r="A5" s="1">
        <v>4</v>
      </c>
      <c r="B5" t="s">
        <v>254</v>
      </c>
      <c r="C5" t="s">
        <v>241</v>
      </c>
      <c r="D5" t="s">
        <v>242</v>
      </c>
      <c r="E5" t="s">
        <v>152</v>
      </c>
    </row>
    <row r="6" spans="1:7">
      <c r="A6" s="1">
        <v>5</v>
      </c>
      <c r="B6" t="s">
        <v>255</v>
      </c>
      <c r="C6" t="s">
        <v>243</v>
      </c>
      <c r="D6" t="s">
        <v>244</v>
      </c>
      <c r="E6" t="s">
        <v>166</v>
      </c>
    </row>
    <row r="7" spans="1:7">
      <c r="A7" s="1">
        <v>6</v>
      </c>
      <c r="B7" t="s">
        <v>256</v>
      </c>
      <c r="C7" t="s">
        <v>169</v>
      </c>
      <c r="D7" t="s">
        <v>172</v>
      </c>
      <c r="E7" t="s">
        <v>176</v>
      </c>
      <c r="F7" t="s">
        <v>171</v>
      </c>
    </row>
    <row r="8" spans="1:7">
      <c r="A8" s="1">
        <v>7</v>
      </c>
      <c r="B8" t="s">
        <v>257</v>
      </c>
      <c r="C8" t="s">
        <v>245</v>
      </c>
      <c r="D8" t="s">
        <v>191</v>
      </c>
    </row>
    <row r="9" spans="1:7">
      <c r="A9" s="1">
        <v>8</v>
      </c>
      <c r="B9" t="s">
        <v>258</v>
      </c>
      <c r="C9" t="s">
        <v>246</v>
      </c>
      <c r="D9" t="s">
        <v>192</v>
      </c>
      <c r="E9" t="s">
        <v>247</v>
      </c>
      <c r="F9" t="s">
        <v>196</v>
      </c>
      <c r="G9" t="s">
        <v>248</v>
      </c>
    </row>
    <row r="10" spans="1:7">
      <c r="A10" s="1">
        <v>9</v>
      </c>
      <c r="B10" t="s">
        <v>259</v>
      </c>
      <c r="C10" t="s">
        <v>249</v>
      </c>
      <c r="D10" t="s">
        <v>222</v>
      </c>
      <c r="E10" t="s">
        <v>223</v>
      </c>
    </row>
    <row r="11" spans="1:7">
      <c r="A11" s="1">
        <v>10</v>
      </c>
      <c r="B11" t="s">
        <v>260</v>
      </c>
      <c r="C11" t="s">
        <v>250</v>
      </c>
      <c r="D11" t="s">
        <v>224</v>
      </c>
      <c r="E11" t="s">
        <v>232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E1A54-99F1-459C-A5A9-0EA84B984158}">
  <dimension ref="A1:E122"/>
  <sheetViews>
    <sheetView zoomScaleNormal="100" workbookViewId="0">
      <selection activeCell="C3" sqref="C3"/>
    </sheetView>
  </sheetViews>
  <sheetFormatPr defaultColWidth="8.7265625" defaultRowHeight="14.5"/>
  <cols>
    <col min="2" max="2" width="41.90625" customWidth="1"/>
  </cols>
  <sheetData>
    <row r="1" spans="1:5">
      <c r="A1">
        <v>1</v>
      </c>
      <c r="B1" t="s">
        <v>0</v>
      </c>
      <c r="C1">
        <v>1</v>
      </c>
      <c r="E1" t="s">
        <v>1</v>
      </c>
    </row>
    <row r="2" spans="1:5">
      <c r="A2" t="str">
        <f t="shared" ref="A2:A64" si="0">LEFT(B2,3)</f>
        <v>1.1</v>
      </c>
      <c r="B2" t="s">
        <v>2</v>
      </c>
      <c r="C2">
        <v>3</v>
      </c>
      <c r="E2" t="s">
        <v>3</v>
      </c>
    </row>
    <row r="3" spans="1:5">
      <c r="A3" t="str">
        <f t="shared" si="0"/>
        <v>1.2</v>
      </c>
      <c r="B3" t="s">
        <v>5</v>
      </c>
      <c r="C3">
        <v>4</v>
      </c>
      <c r="E3" t="s">
        <v>4</v>
      </c>
    </row>
    <row r="4" spans="1:5">
      <c r="A4" t="str">
        <f t="shared" si="0"/>
        <v>1.3</v>
      </c>
      <c r="B4" t="s">
        <v>6</v>
      </c>
      <c r="C4">
        <v>5</v>
      </c>
    </row>
    <row r="5" spans="1:5">
      <c r="A5" t="str">
        <f t="shared" si="0"/>
        <v>1.4</v>
      </c>
      <c r="B5" t="s">
        <v>7</v>
      </c>
      <c r="C5">
        <v>6</v>
      </c>
    </row>
    <row r="6" spans="1:5">
      <c r="A6" t="str">
        <f t="shared" si="0"/>
        <v>1.5</v>
      </c>
      <c r="B6" t="s">
        <v>8</v>
      </c>
      <c r="C6">
        <v>10</v>
      </c>
    </row>
    <row r="7" spans="1:5">
      <c r="A7" t="str">
        <f t="shared" si="0"/>
        <v>1.6</v>
      </c>
      <c r="B7" t="s">
        <v>9</v>
      </c>
      <c r="C7">
        <v>12</v>
      </c>
    </row>
    <row r="8" spans="1:5">
      <c r="A8">
        <v>2</v>
      </c>
      <c r="B8" t="s">
        <v>10</v>
      </c>
      <c r="C8">
        <v>15</v>
      </c>
    </row>
    <row r="9" spans="1:5">
      <c r="A9" t="str">
        <f t="shared" si="0"/>
        <v>2.1</v>
      </c>
      <c r="B9" t="s">
        <v>11</v>
      </c>
      <c r="C9">
        <v>17</v>
      </c>
    </row>
    <row r="10" spans="1:5">
      <c r="A10" t="str">
        <f t="shared" si="0"/>
        <v>2.2</v>
      </c>
      <c r="B10" t="s">
        <v>12</v>
      </c>
      <c r="C10">
        <v>18</v>
      </c>
    </row>
    <row r="11" spans="1:5">
      <c r="A11" t="str">
        <f t="shared" si="0"/>
        <v>2.3</v>
      </c>
      <c r="B11" t="s">
        <v>13</v>
      </c>
      <c r="C11">
        <v>20</v>
      </c>
    </row>
    <row r="12" spans="1:5">
      <c r="A12" t="str">
        <f t="shared" si="0"/>
        <v>3 C</v>
      </c>
      <c r="B12" t="s">
        <v>14</v>
      </c>
      <c r="C12">
        <v>25</v>
      </c>
    </row>
    <row r="13" spans="1:5">
      <c r="A13" t="str">
        <f t="shared" si="0"/>
        <v>3.1</v>
      </c>
      <c r="B13" t="s">
        <v>15</v>
      </c>
      <c r="C13">
        <v>27</v>
      </c>
    </row>
    <row r="14" spans="1:5">
      <c r="A14" t="str">
        <f t="shared" si="0"/>
        <v>3.2</v>
      </c>
      <c r="B14" t="s">
        <v>16</v>
      </c>
      <c r="C14">
        <v>28</v>
      </c>
    </row>
    <row r="15" spans="1:5">
      <c r="A15" t="str">
        <f t="shared" si="0"/>
        <v>3.3</v>
      </c>
      <c r="B15" t="s">
        <v>17</v>
      </c>
      <c r="C15">
        <v>32</v>
      </c>
    </row>
    <row r="16" spans="1:5">
      <c r="A16" t="str">
        <f t="shared" si="0"/>
        <v>3.4</v>
      </c>
      <c r="B16" t="s">
        <v>18</v>
      </c>
      <c r="C16">
        <v>33</v>
      </c>
    </row>
    <row r="17" spans="1:5">
      <c r="A17" t="str">
        <f t="shared" si="0"/>
        <v>3.5</v>
      </c>
      <c r="B17" t="s">
        <v>19</v>
      </c>
      <c r="C17">
        <v>34</v>
      </c>
      <c r="D17" s="3" t="str">
        <f>RIGHT(B17,LEN(B17)-LEN(A17)-1)</f>
        <v>Is chemical 'evolution' evolution? 34</v>
      </c>
      <c r="E17" t="str">
        <f>LEFT(D17,LEN(D17)-LEN(C17)-1)</f>
        <v>Is chemical 'evolution' evolution?</v>
      </c>
    </row>
    <row r="18" spans="1:5">
      <c r="A18" t="str">
        <f t="shared" si="0"/>
        <v>3.6</v>
      </c>
      <c r="B18" t="s">
        <v>20</v>
      </c>
      <c r="C18">
        <v>35</v>
      </c>
      <c r="D18" s="3" t="str">
        <f t="shared" ref="D18:D81" si="1">RIGHT(B18,LEN(B18)-LEN(A18)-1)</f>
        <v>Evolution of metabolic networks through chemical symbiosis 35</v>
      </c>
      <c r="E18" t="str">
        <f t="shared" ref="E18:E81" si="2">LEFT(D18,LEN(D18)-LEN(C18)-1)</f>
        <v>Evolution of metabolic networks through chemical symbiosis</v>
      </c>
    </row>
    <row r="19" spans="1:5">
      <c r="A19" t="str">
        <f t="shared" si="0"/>
        <v>3.7</v>
      </c>
      <c r="B19" t="s">
        <v>21</v>
      </c>
      <c r="C19">
        <v>36</v>
      </c>
      <c r="D19" s="3" t="str">
        <f t="shared" si="1"/>
        <v>Chemical evolution in clouds, and the extraterrestrial contribution 36</v>
      </c>
      <c r="E19" t="str">
        <f t="shared" si="2"/>
        <v>Chemical evolution in clouds, and the extraterrestrial contribution</v>
      </c>
    </row>
    <row r="20" spans="1:5">
      <c r="A20" t="str">
        <f t="shared" si="0"/>
        <v>3.8</v>
      </c>
      <c r="B20" t="s">
        <v>22</v>
      </c>
      <c r="C20">
        <v>37</v>
      </c>
      <c r="D20" s="3" t="str">
        <f t="shared" si="1"/>
        <v>Conclusions</v>
      </c>
      <c r="E20" t="str">
        <f t="shared" si="2"/>
        <v>Conclusi</v>
      </c>
    </row>
    <row r="21" spans="1:5">
      <c r="A21">
        <v>4</v>
      </c>
      <c r="B21" t="s">
        <v>23</v>
      </c>
      <c r="C21">
        <v>39</v>
      </c>
      <c r="D21" s="3" t="str">
        <f t="shared" si="1"/>
        <v>The evolution of templates</v>
      </c>
      <c r="E21" t="str">
        <f t="shared" si="2"/>
        <v>The evolution of templa</v>
      </c>
    </row>
    <row r="22" spans="1:5">
      <c r="A22" t="str">
        <f t="shared" si="0"/>
        <v>4.1</v>
      </c>
      <c r="B22" t="s">
        <v>24</v>
      </c>
      <c r="C22">
        <v>41</v>
      </c>
      <c r="D22" s="3" t="str">
        <f t="shared" si="1"/>
        <v>Introduction</v>
      </c>
      <c r="E22" t="str">
        <f t="shared" si="2"/>
        <v>Introduct</v>
      </c>
    </row>
    <row r="23" spans="1:5">
      <c r="A23" t="str">
        <f t="shared" si="0"/>
        <v>4.2</v>
      </c>
      <c r="B23" t="s">
        <v>25</v>
      </c>
      <c r="C23">
        <v>41</v>
      </c>
      <c r="D23" s="3" t="str">
        <f t="shared" si="1"/>
        <v>Replication and nucleation</v>
      </c>
      <c r="E23" t="str">
        <f t="shared" si="2"/>
        <v>Replication and nucleat</v>
      </c>
    </row>
    <row r="24" spans="1:5">
      <c r="A24" t="str">
        <f t="shared" si="0"/>
        <v>4.3</v>
      </c>
      <c r="B24" t="s">
        <v>26</v>
      </c>
      <c r="C24">
        <v>44</v>
      </c>
      <c r="D24" s="3" t="str">
        <f t="shared" si="1"/>
        <v>The accuracy of replication and the error threshold</v>
      </c>
      <c r="E24" t="str">
        <f t="shared" si="2"/>
        <v>The accuracy of replication and the error thresh</v>
      </c>
    </row>
    <row r="25" spans="1:5">
      <c r="A25" t="str">
        <f t="shared" si="0"/>
        <v>4.4</v>
      </c>
      <c r="B25" t="s">
        <v>27</v>
      </c>
      <c r="C25">
        <v>49</v>
      </c>
      <c r="D25" s="3" t="str">
        <f t="shared" si="1"/>
        <v>The ecology and coexistence of RNA molecules</v>
      </c>
      <c r="E25" t="str">
        <f t="shared" si="2"/>
        <v>The ecology and coexistence of RNA molecu</v>
      </c>
    </row>
    <row r="26" spans="1:5">
      <c r="A26" t="str">
        <f t="shared" si="0"/>
        <v>4.5</v>
      </c>
      <c r="B26" t="s">
        <v>28</v>
      </c>
      <c r="C26">
        <v>51</v>
      </c>
      <c r="D26" s="3" t="str">
        <f t="shared" si="1"/>
        <v>The hypercycle</v>
      </c>
      <c r="E26" t="str">
        <f t="shared" si="2"/>
        <v>The hypercy</v>
      </c>
    </row>
    <row r="27" spans="1:5">
      <c r="A27" t="str">
        <f t="shared" si="0"/>
        <v>4.6</v>
      </c>
      <c r="B27" t="s">
        <v>29</v>
      </c>
      <c r="C27">
        <v>55</v>
      </c>
      <c r="D27" s="3" t="str">
        <f t="shared" si="1"/>
        <v>The stochastic corrector model</v>
      </c>
      <c r="E27" t="str">
        <f t="shared" si="2"/>
        <v>The stochastic corrector mo</v>
      </c>
    </row>
    <row r="28" spans="1:5">
      <c r="A28" t="str">
        <f t="shared" si="0"/>
        <v>4.7</v>
      </c>
      <c r="B28" t="s">
        <v>30</v>
      </c>
      <c r="C28">
        <v>58</v>
      </c>
      <c r="D28" s="3" t="str">
        <f t="shared" si="1"/>
        <v>Conclusions</v>
      </c>
      <c r="E28" t="str">
        <f t="shared" si="2"/>
        <v>Conclusi</v>
      </c>
    </row>
    <row r="29" spans="1:5">
      <c r="A29">
        <v>5</v>
      </c>
      <c r="B29" t="s">
        <v>31</v>
      </c>
      <c r="C29" t="str">
        <f>RIGHT(B29,2)</f>
        <v>59</v>
      </c>
      <c r="D29" s="3" t="str">
        <f t="shared" si="1"/>
        <v>The chicken and egg problem 59</v>
      </c>
      <c r="E29" t="str">
        <f t="shared" si="2"/>
        <v>The chicken and egg problem</v>
      </c>
    </row>
    <row r="30" spans="1:5">
      <c r="A30" t="str">
        <f t="shared" si="0"/>
        <v>5.1</v>
      </c>
      <c r="B30" t="s">
        <v>32</v>
      </c>
      <c r="C30" t="str">
        <f t="shared" ref="C30:C41" si="3">RIGHT(B30,2)</f>
        <v>61</v>
      </c>
      <c r="D30" s="3" t="str">
        <f t="shared" si="1"/>
        <v>Introduction 61</v>
      </c>
      <c r="E30" t="str">
        <f t="shared" si="2"/>
        <v>Introduction</v>
      </c>
    </row>
    <row r="31" spans="1:5">
      <c r="A31" t="str">
        <f t="shared" si="0"/>
        <v>5.2</v>
      </c>
      <c r="B31" t="s">
        <v>33</v>
      </c>
      <c r="C31" t="str">
        <f t="shared" si="3"/>
        <v>61</v>
      </c>
      <c r="D31" s="3" t="str">
        <f t="shared" si="1"/>
        <v>RNA as an enzyme 61</v>
      </c>
      <c r="E31" t="str">
        <f t="shared" si="2"/>
        <v>RNA as an enzyme</v>
      </c>
    </row>
    <row r="32" spans="1:5">
      <c r="A32" t="str">
        <f t="shared" si="0"/>
        <v>5.3</v>
      </c>
      <c r="B32" t="s">
        <v>34</v>
      </c>
      <c r="C32" t="str">
        <f t="shared" si="3"/>
        <v>67</v>
      </c>
      <c r="D32" s="3" t="str">
        <f t="shared" si="1"/>
        <v>Autocatalytic protein nets 67</v>
      </c>
      <c r="E32" t="str">
        <f t="shared" si="2"/>
        <v>Autocatalytic protein nets</v>
      </c>
    </row>
    <row r="33" spans="1:5">
      <c r="A33" t="str">
        <f t="shared" si="0"/>
        <v>5.4</v>
      </c>
      <c r="B33" t="s">
        <v>35</v>
      </c>
      <c r="C33" t="str">
        <f t="shared" si="3"/>
        <v>72</v>
      </c>
      <c r="D33" s="3" t="str">
        <f t="shared" si="1"/>
        <v>The urgene: RNA, clay or something else? 72</v>
      </c>
      <c r="E33" t="str">
        <f t="shared" si="2"/>
        <v>The urgene: RNA, clay or something else?</v>
      </c>
    </row>
    <row r="34" spans="1:5">
      <c r="A34" t="str">
        <f t="shared" si="0"/>
        <v>5.5</v>
      </c>
      <c r="B34" t="s">
        <v>36</v>
      </c>
      <c r="C34" t="str">
        <f t="shared" si="3"/>
        <v>75</v>
      </c>
      <c r="D34" s="3" t="str">
        <f t="shared" si="1"/>
        <v>What determines the size of the genetic alphabet? 75</v>
      </c>
      <c r="E34" t="str">
        <f t="shared" si="2"/>
        <v>What determines the size of the genetic alphabet?</v>
      </c>
    </row>
    <row r="35" spans="1:5">
      <c r="A35" t="str">
        <f t="shared" si="0"/>
        <v>6 T</v>
      </c>
      <c r="B35" t="s">
        <v>37</v>
      </c>
      <c r="C35" t="str">
        <f t="shared" si="3"/>
        <v>79</v>
      </c>
      <c r="D35" s="3" t="str">
        <f t="shared" si="1"/>
        <v>e origin of translation and the genetic code 79</v>
      </c>
      <c r="E35" t="str">
        <f t="shared" si="2"/>
        <v>e origin of translation and the genetic code</v>
      </c>
    </row>
    <row r="36" spans="1:5">
      <c r="A36" t="str">
        <f t="shared" si="0"/>
        <v>6.1</v>
      </c>
      <c r="B36" t="s">
        <v>38</v>
      </c>
      <c r="C36" t="str">
        <f t="shared" si="3"/>
        <v>81</v>
      </c>
      <c r="D36" s="3" t="str">
        <f t="shared" si="1"/>
        <v>Modifications of the code 81</v>
      </c>
      <c r="E36" t="str">
        <f t="shared" si="2"/>
        <v>Modifications of the code</v>
      </c>
    </row>
    <row r="37" spans="1:5">
      <c r="A37" t="str">
        <f t="shared" si="0"/>
        <v>6.2</v>
      </c>
      <c r="B37" t="s">
        <v>39</v>
      </c>
      <c r="C37" t="str">
        <f t="shared" si="3"/>
        <v>84</v>
      </c>
      <c r="D37" s="3" t="str">
        <f t="shared" si="1"/>
        <v>The origin of the code I: the top-down approach 84</v>
      </c>
      <c r="E37" t="str">
        <f t="shared" si="2"/>
        <v>The origin of the code I: the top-down approach</v>
      </c>
    </row>
    <row r="38" spans="1:5">
      <c r="A38" t="str">
        <f t="shared" si="0"/>
        <v>6.3</v>
      </c>
      <c r="B38" t="s">
        <v>40</v>
      </c>
      <c r="C38" t="str">
        <f t="shared" si="3"/>
        <v>89</v>
      </c>
      <c r="D38" s="3" t="str">
        <f t="shared" si="1"/>
        <v>The origin of the code II: the bottom-up approach 89</v>
      </c>
      <c r="E38" t="str">
        <f t="shared" si="2"/>
        <v>The origin of the code II: the bottom-up approach</v>
      </c>
    </row>
    <row r="39" spans="1:5">
      <c r="A39">
        <v>7</v>
      </c>
      <c r="B39" t="s">
        <v>41</v>
      </c>
      <c r="C39" t="str">
        <f t="shared" si="3"/>
        <v>97</v>
      </c>
      <c r="D39" s="3" t="str">
        <f t="shared" si="1"/>
        <v>The origin of protocells 97</v>
      </c>
      <c r="E39" t="str">
        <f t="shared" si="2"/>
        <v>The origin of protocells</v>
      </c>
    </row>
    <row r="40" spans="1:5">
      <c r="A40" t="str">
        <f t="shared" si="0"/>
        <v>7.1</v>
      </c>
      <c r="B40" t="s">
        <v>42</v>
      </c>
      <c r="C40" t="str">
        <f t="shared" si="3"/>
        <v>99</v>
      </c>
      <c r="D40" s="3" t="str">
        <f t="shared" si="1"/>
        <v>The need for active compartmentation 99</v>
      </c>
      <c r="E40" t="str">
        <f t="shared" si="2"/>
        <v>The need for active compartmentation</v>
      </c>
    </row>
    <row r="41" spans="1:5">
      <c r="A41" t="str">
        <f t="shared" si="0"/>
        <v>7.2</v>
      </c>
      <c r="B41" t="s">
        <v>43</v>
      </c>
      <c r="C41" t="str">
        <f t="shared" si="3"/>
        <v>99</v>
      </c>
      <c r="D41" s="3" t="str">
        <f t="shared" si="1"/>
        <v>The origin of membranogenic molecules and membranes 99</v>
      </c>
      <c r="E41" t="str">
        <f t="shared" si="2"/>
        <v>The origin of membranogenic molecules and membranes</v>
      </c>
    </row>
    <row r="42" spans="1:5">
      <c r="A42" t="str">
        <f t="shared" si="0"/>
        <v>7.3</v>
      </c>
      <c r="B42" t="s">
        <v>44</v>
      </c>
      <c r="C42" t="str">
        <f>RIGHT(B42,3)</f>
        <v>102</v>
      </c>
      <c r="D42" s="3" t="str">
        <f t="shared" si="1"/>
        <v>Spontaneous cell division 102</v>
      </c>
      <c r="E42" t="str">
        <f t="shared" si="2"/>
        <v>Spontaneous cell division</v>
      </c>
    </row>
    <row r="43" spans="1:5">
      <c r="A43" t="str">
        <f t="shared" si="0"/>
        <v>7.4</v>
      </c>
      <c r="B43" t="s">
        <v>45</v>
      </c>
      <c r="C43" t="str">
        <f t="shared" ref="C43:C102" si="4">RIGHT(B43,3)</f>
        <v>105</v>
      </c>
      <c r="D43" s="3" t="str">
        <f t="shared" si="1"/>
        <v>The problem of membrane transport 105</v>
      </c>
      <c r="E43" t="str">
        <f t="shared" si="2"/>
        <v>The problem of membrane transport</v>
      </c>
    </row>
    <row r="44" spans="1:5">
      <c r="A44" t="str">
        <f t="shared" si="0"/>
        <v>7.5</v>
      </c>
      <c r="B44" t="s">
        <v>46</v>
      </c>
      <c r="C44" t="str">
        <f t="shared" si="4"/>
        <v>106</v>
      </c>
      <c r="D44" s="3" t="str">
        <f t="shared" si="1"/>
        <v>Primordial ancestry of auto trophy 106</v>
      </c>
      <c r="E44" t="str">
        <f t="shared" si="2"/>
        <v>Primordial ancestry of auto trophy</v>
      </c>
    </row>
    <row r="45" spans="1:5">
      <c r="A45" t="str">
        <f t="shared" si="0"/>
        <v>7.6</v>
      </c>
      <c r="B45" t="s">
        <v>47</v>
      </c>
      <c r="C45" t="str">
        <f t="shared" si="4"/>
        <v>108</v>
      </c>
      <c r="D45" s="3" t="str">
        <f t="shared" si="1"/>
        <v>Metabolism in ribo-organisms: the iron-sulphur world meets the RNA world 108</v>
      </c>
      <c r="E45" t="str">
        <f t="shared" si="2"/>
        <v>Metabolism in ribo-organisms: the iron-sulphur world meets the RNA world</v>
      </c>
    </row>
    <row r="46" spans="1:5">
      <c r="A46" t="str">
        <f t="shared" si="0"/>
        <v>7.7</v>
      </c>
      <c r="B46" t="s">
        <v>48</v>
      </c>
      <c r="C46" t="str">
        <f t="shared" si="4"/>
        <v>109</v>
      </c>
      <c r="D46" s="3" t="str">
        <f t="shared" si="1"/>
        <v>The evolution of specific enzymes 109</v>
      </c>
      <c r="E46" t="str">
        <f t="shared" si="2"/>
        <v>The evolution of specific enzymes</v>
      </c>
    </row>
    <row r="47" spans="1:5">
      <c r="A47" t="str">
        <f t="shared" si="0"/>
        <v>7.8</v>
      </c>
      <c r="B47" t="s">
        <v>49</v>
      </c>
      <c r="C47">
        <v>110</v>
      </c>
      <c r="D47" s="3" t="str">
        <f t="shared" si="1"/>
        <v>The origin of the two negibacterial membranes llO</v>
      </c>
      <c r="E47" t="str">
        <f t="shared" si="2"/>
        <v>The origin of the two negibacterial membranes</v>
      </c>
    </row>
    <row r="48" spans="1:5">
      <c r="A48" t="str">
        <f t="shared" si="0"/>
        <v>7.9</v>
      </c>
      <c r="B48" t="s">
        <v>50</v>
      </c>
      <c r="C48" t="str">
        <f t="shared" si="4"/>
        <v>114</v>
      </c>
      <c r="D48" s="3" t="str">
        <f t="shared" si="1"/>
        <v>The origin of chromosomes 114</v>
      </c>
      <c r="E48" t="str">
        <f t="shared" si="2"/>
        <v>The origin of chromosomes</v>
      </c>
    </row>
    <row r="49" spans="1:5">
      <c r="A49">
        <v>8</v>
      </c>
      <c r="B49" t="s">
        <v>51</v>
      </c>
      <c r="C49" t="str">
        <f t="shared" si="4"/>
        <v>119</v>
      </c>
      <c r="D49" s="3" t="str">
        <f t="shared" si="1"/>
        <v>The origin of eukaryotes 119</v>
      </c>
      <c r="E49" t="str">
        <f t="shared" si="2"/>
        <v>The origin of eukaryotes</v>
      </c>
    </row>
    <row r="50" spans="1:5">
      <c r="A50" t="str">
        <f t="shared" si="0"/>
        <v>8.1</v>
      </c>
      <c r="B50" t="s">
        <v>52</v>
      </c>
      <c r="C50" t="str">
        <f t="shared" si="4"/>
        <v>121</v>
      </c>
      <c r="D50" s="3" t="str">
        <f t="shared" si="1"/>
        <v>The problem 121</v>
      </c>
      <c r="E50" t="str">
        <f t="shared" si="2"/>
        <v>The problem</v>
      </c>
    </row>
    <row r="51" spans="1:5">
      <c r="A51" t="str">
        <f t="shared" si="0"/>
        <v>8.2</v>
      </c>
      <c r="B51" t="s">
        <v>53</v>
      </c>
      <c r="C51" t="str">
        <f t="shared" si="4"/>
        <v>124</v>
      </c>
      <c r="D51" s="3" t="str">
        <f t="shared" si="1"/>
        <v>A possible scenario 124</v>
      </c>
      <c r="E51" t="str">
        <f t="shared" si="2"/>
        <v>A possible scenario</v>
      </c>
    </row>
    <row r="52" spans="1:5">
      <c r="A52" t="str">
        <f t="shared" si="0"/>
        <v>8.3</v>
      </c>
      <c r="B52" t="s">
        <v>54</v>
      </c>
      <c r="C52" t="str">
        <f t="shared" si="4"/>
        <v>125</v>
      </c>
      <c r="D52" s="3" t="str">
        <f t="shared" si="1"/>
        <v>The origin of intracellular membranes 125</v>
      </c>
      <c r="E52" t="str">
        <f t="shared" si="2"/>
        <v>The origin of intracellular membranes</v>
      </c>
    </row>
    <row r="53" spans="1:5">
      <c r="A53" t="str">
        <f t="shared" si="0"/>
        <v>8.4</v>
      </c>
      <c r="B53" t="s">
        <v>55</v>
      </c>
      <c r="C53" t="str">
        <f t="shared" si="4"/>
        <v>126</v>
      </c>
      <c r="D53" s="3" t="str">
        <f t="shared" si="1"/>
        <v>The origin of mitosis 126</v>
      </c>
      <c r="E53" t="str">
        <f t="shared" si="2"/>
        <v>The origin of mitosis</v>
      </c>
    </row>
    <row r="54" spans="1:5">
      <c r="A54" t="str">
        <f t="shared" si="0"/>
        <v>8.5</v>
      </c>
      <c r="B54" t="s">
        <v>56</v>
      </c>
      <c r="C54" t="str">
        <f t="shared" si="4"/>
        <v>132</v>
      </c>
      <c r="D54" s="3" t="str">
        <f t="shared" si="1"/>
        <v>The nucleus, genome organization and the origin of introns 132</v>
      </c>
      <c r="E54" t="str">
        <f t="shared" si="2"/>
        <v>The nucleus, genome organization and the origin of introns</v>
      </c>
    </row>
    <row r="55" spans="1:5">
      <c r="A55" t="str">
        <f t="shared" si="0"/>
        <v>8.6</v>
      </c>
      <c r="B55" t="s">
        <v>57</v>
      </c>
      <c r="C55" t="str">
        <f t="shared" si="4"/>
        <v>137</v>
      </c>
      <c r="D55" s="3" t="str">
        <f t="shared" si="1"/>
        <v>The origin of mitochondria, chloroplasts and microbodies 137</v>
      </c>
      <c r="E55" t="str">
        <f t="shared" si="2"/>
        <v>The origin of mitochondria, chloroplasts and microbodies</v>
      </c>
    </row>
    <row r="56" spans="1:5">
      <c r="A56" t="str">
        <f t="shared" si="0"/>
        <v>8.7</v>
      </c>
      <c r="B56" t="s">
        <v>58</v>
      </c>
      <c r="C56" t="str">
        <f t="shared" si="4"/>
        <v>142</v>
      </c>
      <c r="D56" s="3" t="str">
        <f t="shared" si="1"/>
        <v>The origin of centrioles and undulipodia 142</v>
      </c>
      <c r="E56" t="str">
        <f t="shared" si="2"/>
        <v>The origin of centrioles and undulipodia</v>
      </c>
    </row>
    <row r="57" spans="1:5">
      <c r="A57" t="str">
        <f t="shared" si="0"/>
        <v>8.8</v>
      </c>
      <c r="B57" t="s">
        <v>59</v>
      </c>
      <c r="C57" t="str">
        <f t="shared" si="4"/>
        <v>145</v>
      </c>
      <c r="D57" s="3" t="str">
        <f t="shared" si="1"/>
        <v>Timing 145</v>
      </c>
      <c r="E57" t="str">
        <f t="shared" si="2"/>
        <v>Timing</v>
      </c>
    </row>
    <row r="58" spans="1:5">
      <c r="A58">
        <v>9</v>
      </c>
      <c r="B58" t="s">
        <v>60</v>
      </c>
      <c r="C58" t="str">
        <f t="shared" si="4"/>
        <v>147</v>
      </c>
      <c r="D58" s="3" t="str">
        <f t="shared" si="1"/>
        <v>The origin of sex and the nature of species 147</v>
      </c>
      <c r="E58" t="str">
        <f t="shared" si="2"/>
        <v>The origin of sex and the nature of species</v>
      </c>
    </row>
    <row r="59" spans="1:5">
      <c r="A59" t="str">
        <f t="shared" si="0"/>
        <v>9.1</v>
      </c>
      <c r="B59" t="s">
        <v>61</v>
      </c>
      <c r="C59" t="str">
        <f t="shared" si="4"/>
        <v>149</v>
      </c>
      <c r="D59" s="3" t="str">
        <f t="shared" si="1"/>
        <v>Introduction 149</v>
      </c>
      <c r="E59" t="str">
        <f t="shared" si="2"/>
        <v>Introduction</v>
      </c>
    </row>
    <row r="60" spans="1:5">
      <c r="A60" t="str">
        <f t="shared" si="0"/>
        <v>9.2</v>
      </c>
      <c r="B60" t="s">
        <v>62</v>
      </c>
      <c r="C60" t="str">
        <f t="shared" si="4"/>
        <v>149</v>
      </c>
      <c r="D60" s="3" t="str">
        <f t="shared" si="1"/>
        <v>Cellular mechanisms of the haploid-diploid cycle 149</v>
      </c>
      <c r="E60" t="str">
        <f t="shared" si="2"/>
        <v>Cellular mechanisms of the haploid-diploid cycle</v>
      </c>
    </row>
    <row r="61" spans="1:5">
      <c r="A61" t="str">
        <f t="shared" si="0"/>
        <v>9.3</v>
      </c>
      <c r="B61" t="s">
        <v>63</v>
      </c>
      <c r="C61">
        <v>150</v>
      </c>
      <c r="D61" s="3" t="str">
        <f t="shared" si="1"/>
        <v>Ancient haploid-diploid cycles 1 50</v>
      </c>
      <c r="E61" t="str">
        <f t="shared" si="2"/>
        <v xml:space="preserve">Ancient haploid-diploid cycles </v>
      </c>
    </row>
    <row r="62" spans="1:5">
      <c r="A62" t="str">
        <f t="shared" si="0"/>
        <v>9.4</v>
      </c>
      <c r="B62" t="s">
        <v>64</v>
      </c>
      <c r="C62">
        <v>159</v>
      </c>
      <c r="D62" s="3" t="str">
        <f t="shared" si="1"/>
        <v>Mating types and the origin of anisogamy 1 59</v>
      </c>
      <c r="E62" t="str">
        <f t="shared" si="2"/>
        <v xml:space="preserve">Mating types and the origin of anisogamy </v>
      </c>
    </row>
    <row r="63" spans="1:5">
      <c r="A63" t="str">
        <f t="shared" si="0"/>
        <v>9.5</v>
      </c>
      <c r="B63" t="s">
        <v>65</v>
      </c>
      <c r="C63" t="str">
        <f t="shared" si="4"/>
        <v>163</v>
      </c>
      <c r="D63" s="3" t="str">
        <f t="shared" si="1"/>
        <v>Sex and the nature of species 163</v>
      </c>
      <c r="E63" t="str">
        <f t="shared" si="2"/>
        <v>Sex and the nature of species</v>
      </c>
    </row>
    <row r="64" spans="1:5">
      <c r="A64" t="str">
        <f t="shared" si="0"/>
        <v xml:space="preserve">10 </v>
      </c>
      <c r="B64" t="s">
        <v>66</v>
      </c>
      <c r="C64" t="str">
        <f t="shared" si="4"/>
        <v>169</v>
      </c>
      <c r="D64" s="3" t="str">
        <f t="shared" si="1"/>
        <v>ntragenomic conflict 169</v>
      </c>
      <c r="E64" t="str">
        <f t="shared" si="2"/>
        <v>ntragenomic conflict</v>
      </c>
    </row>
    <row r="65" spans="1:5">
      <c r="A65" t="str">
        <f>LEFT(B65,4)</f>
        <v>10.1</v>
      </c>
      <c r="B65" t="s">
        <v>67</v>
      </c>
      <c r="C65" t="str">
        <f t="shared" si="4"/>
        <v>171</v>
      </c>
      <c r="D65" s="3" t="str">
        <f t="shared" si="1"/>
        <v>Introduction 171</v>
      </c>
      <c r="E65" t="str">
        <f t="shared" si="2"/>
        <v>Introduction</v>
      </c>
    </row>
    <row r="66" spans="1:5">
      <c r="A66" t="str">
        <f t="shared" ref="A66:A120" si="5">LEFT(B66,4)</f>
        <v>10.2</v>
      </c>
      <c r="B66" t="s">
        <v>68</v>
      </c>
      <c r="C66" t="str">
        <f t="shared" si="4"/>
        <v>172</v>
      </c>
      <c r="D66" s="3" t="str">
        <f t="shared" si="1"/>
        <v>A fair meiosis 172</v>
      </c>
      <c r="E66" t="str">
        <f t="shared" si="2"/>
        <v>A fair meiosis</v>
      </c>
    </row>
    <row r="67" spans="1:5">
      <c r="A67" t="str">
        <f t="shared" si="5"/>
        <v>10.3</v>
      </c>
      <c r="B67" t="s">
        <v>69</v>
      </c>
      <c r="C67" t="str">
        <f t="shared" si="4"/>
        <v>176</v>
      </c>
      <c r="D67" s="3" t="str">
        <f t="shared" si="1"/>
        <v>Intrachromosomal repetitive DNA 176</v>
      </c>
      <c r="E67" t="str">
        <f t="shared" si="2"/>
        <v>Intrachromosomal repetitive DNA</v>
      </c>
    </row>
    <row r="68" spans="1:5">
      <c r="A68" t="str">
        <f t="shared" si="5"/>
        <v>10.4</v>
      </c>
      <c r="B68" t="s">
        <v>70</v>
      </c>
      <c r="C68" t="str">
        <f t="shared" si="4"/>
        <v>182</v>
      </c>
      <c r="D68" s="3" t="str">
        <f t="shared" si="1"/>
        <v>Avoiding conflict between organelles 182</v>
      </c>
      <c r="E68" t="str">
        <f t="shared" si="2"/>
        <v>Avoiding conflict between organelles</v>
      </c>
    </row>
    <row r="69" spans="1:5">
      <c r="A69" t="str">
        <f t="shared" si="5"/>
        <v>10.5</v>
      </c>
      <c r="B69" t="s">
        <v>71</v>
      </c>
      <c r="C69" t="str">
        <f t="shared" si="4"/>
        <v>183</v>
      </c>
      <c r="D69" s="3" t="str">
        <f t="shared" si="1"/>
        <v>Distortion of sex allocation 183</v>
      </c>
      <c r="E69" t="str">
        <f t="shared" si="2"/>
        <v>Distortion of sex allocation</v>
      </c>
    </row>
    <row r="70" spans="1:5">
      <c r="A70" t="str">
        <f t="shared" si="5"/>
        <v>11 S</v>
      </c>
      <c r="B70" t="s">
        <v>72</v>
      </c>
      <c r="C70" t="str">
        <f t="shared" si="4"/>
        <v>187</v>
      </c>
      <c r="D70" s="3" t="str">
        <f t="shared" si="1"/>
        <v>mbiosis 187</v>
      </c>
      <c r="E70" t="str">
        <f t="shared" si="2"/>
        <v>mbiosis</v>
      </c>
    </row>
    <row r="71" spans="1:5">
      <c r="A71" t="str">
        <f t="shared" si="5"/>
        <v>11.1</v>
      </c>
      <c r="B71" t="s">
        <v>73</v>
      </c>
      <c r="C71" t="str">
        <f t="shared" si="4"/>
        <v>189</v>
      </c>
      <c r="D71" s="3" t="str">
        <f t="shared" si="1"/>
        <v>Introduction 189</v>
      </c>
      <c r="E71" t="str">
        <f t="shared" si="2"/>
        <v>Introduction</v>
      </c>
    </row>
    <row r="72" spans="1:5">
      <c r="A72" t="str">
        <f t="shared" si="5"/>
        <v>11.2</v>
      </c>
      <c r="B72" t="s">
        <v>74</v>
      </c>
      <c r="C72" t="str">
        <f t="shared" si="4"/>
        <v>189</v>
      </c>
      <c r="D72" s="3" t="str">
        <f t="shared" si="1"/>
        <v>The ecology of symbiosis 189</v>
      </c>
      <c r="E72" t="str">
        <f t="shared" si="2"/>
        <v>The ecology of symbiosis</v>
      </c>
    </row>
    <row r="73" spans="1:5">
      <c r="A73" t="str">
        <f t="shared" si="5"/>
        <v>11.3</v>
      </c>
      <c r="B73" t="s">
        <v>75</v>
      </c>
      <c r="C73" t="str">
        <f t="shared" si="4"/>
        <v>191</v>
      </c>
      <c r="D73" s="3" t="str">
        <f t="shared" si="1"/>
        <v>A model 191</v>
      </c>
      <c r="E73" t="str">
        <f t="shared" si="2"/>
        <v>A model</v>
      </c>
    </row>
    <row r="74" spans="1:5">
      <c r="A74" t="str">
        <f t="shared" si="5"/>
        <v>11.4</v>
      </c>
      <c r="B74" t="s">
        <v>76</v>
      </c>
      <c r="C74" t="str">
        <f t="shared" si="4"/>
        <v>195</v>
      </c>
      <c r="D74" s="3" t="str">
        <f t="shared" si="1"/>
        <v>Modes of transmission 195</v>
      </c>
      <c r="E74" t="str">
        <f t="shared" si="2"/>
        <v>Modes of transmission</v>
      </c>
    </row>
    <row r="75" spans="1:5">
      <c r="A75" t="str">
        <f t="shared" si="5"/>
        <v>11.5</v>
      </c>
      <c r="B75" t="s">
        <v>77</v>
      </c>
      <c r="C75" t="str">
        <f t="shared" si="4"/>
        <v>196</v>
      </c>
      <c r="D75" s="3" t="str">
        <f t="shared" si="1"/>
        <v>Irreversibility 196</v>
      </c>
      <c r="E75" t="str">
        <f t="shared" si="2"/>
        <v>Irreversibility</v>
      </c>
    </row>
    <row r="76" spans="1:5">
      <c r="A76" t="str">
        <f t="shared" si="5"/>
        <v>11.6</v>
      </c>
      <c r="B76" t="s">
        <v>78</v>
      </c>
      <c r="C76" t="str">
        <f t="shared" si="4"/>
        <v>196</v>
      </c>
      <c r="D76" s="3" t="str">
        <f t="shared" si="1"/>
        <v>Does symbiosis evolve towards mutualism? 196</v>
      </c>
      <c r="E76" t="str">
        <f t="shared" si="2"/>
        <v>Does symbiosis evolve towards mutualism?</v>
      </c>
    </row>
    <row r="77" spans="1:5">
      <c r="A77" t="str">
        <f t="shared" si="5"/>
        <v>11.7</v>
      </c>
      <c r="B77" t="s">
        <v>79</v>
      </c>
      <c r="C77" t="str">
        <f t="shared" si="4"/>
        <v>198</v>
      </c>
      <c r="D77" s="3" t="str">
        <f t="shared" si="1"/>
        <v>Evolution within a host 198</v>
      </c>
      <c r="E77" t="str">
        <f t="shared" si="2"/>
        <v>Evolution within a host</v>
      </c>
    </row>
    <row r="78" spans="1:5">
      <c r="A78" t="str">
        <f t="shared" si="5"/>
        <v>11.8</v>
      </c>
      <c r="B78" t="s">
        <v>80</v>
      </c>
      <c r="C78" t="str">
        <f t="shared" si="4"/>
        <v>199</v>
      </c>
      <c r="D78" s="3" t="str">
        <f t="shared" si="1"/>
        <v>Symbiosis, variability and sex 199</v>
      </c>
      <c r="E78" t="str">
        <f t="shared" si="2"/>
        <v>Symbiosis, variability and sex</v>
      </c>
    </row>
    <row r="79" spans="1:5">
      <c r="A79">
        <v>12</v>
      </c>
      <c r="B79" t="s">
        <v>81</v>
      </c>
      <c r="C79" t="str">
        <f t="shared" si="4"/>
        <v>201</v>
      </c>
      <c r="D79" s="3" t="str">
        <f t="shared" si="1"/>
        <v>Development in simple organisms 201</v>
      </c>
      <c r="E79" t="str">
        <f t="shared" si="2"/>
        <v>Development in simple organisms</v>
      </c>
    </row>
    <row r="80" spans="1:5">
      <c r="A80" t="str">
        <f t="shared" si="5"/>
        <v>12.1</v>
      </c>
      <c r="B80" t="s">
        <v>82</v>
      </c>
      <c r="C80" t="str">
        <f t="shared" si="4"/>
        <v>203</v>
      </c>
      <c r="D80" s="3" t="str">
        <f t="shared" si="1"/>
        <v>The origins of development 203</v>
      </c>
      <c r="E80" t="str">
        <f t="shared" si="2"/>
        <v>The origins of development</v>
      </c>
    </row>
    <row r="81" spans="1:5">
      <c r="A81" t="str">
        <f t="shared" si="5"/>
        <v>12.2</v>
      </c>
      <c r="B81" t="s">
        <v>83</v>
      </c>
      <c r="C81" t="str">
        <f t="shared" si="4"/>
        <v>205</v>
      </c>
      <c r="D81" s="3" t="str">
        <f t="shared" si="1"/>
        <v>The limits of self-assembly 205</v>
      </c>
      <c r="E81" t="str">
        <f t="shared" si="2"/>
        <v>The limits of self-assembly</v>
      </c>
    </row>
    <row r="82" spans="1:5">
      <c r="A82" t="str">
        <f t="shared" si="5"/>
        <v>12.3</v>
      </c>
      <c r="B82" t="s">
        <v>84</v>
      </c>
      <c r="C82" t="str">
        <f t="shared" si="4"/>
        <v>207</v>
      </c>
      <c r="D82" s="3" t="str">
        <f t="shared" ref="D82:D122" si="6">RIGHT(B82,LEN(B82)-LEN(A82)-1)</f>
        <v>The organization of gene action in time: the cell cycle 207</v>
      </c>
      <c r="E82" t="str">
        <f t="shared" ref="E82:E122" si="7">LEFT(D82,LEN(D82)-LEN(C82)-1)</f>
        <v>The organization of gene action in time: the cell cycle</v>
      </c>
    </row>
    <row r="83" spans="1:5">
      <c r="A83" t="str">
        <f t="shared" si="5"/>
        <v>12.4</v>
      </c>
      <c r="B83" t="s">
        <v>85</v>
      </c>
      <c r="C83" t="str">
        <f t="shared" si="4"/>
        <v>208</v>
      </c>
      <c r="D83" s="3" t="str">
        <f t="shared" si="6"/>
        <v>The 'development' of a unicellular organism: budding yeast 208</v>
      </c>
      <c r="E83" t="str">
        <f t="shared" si="7"/>
        <v>The 'development' of a unicellular organism: budding yeast</v>
      </c>
    </row>
    <row r="84" spans="1:5">
      <c r="A84" t="str">
        <f t="shared" si="5"/>
        <v>12.5</v>
      </c>
      <c r="B84" t="s">
        <v>86</v>
      </c>
      <c r="C84" t="str">
        <f t="shared" si="4"/>
        <v>211</v>
      </c>
      <c r="D84" s="3" t="str">
        <f t="shared" si="6"/>
        <v>The division of labour in the origin of multicellular eukaryotes: Volvox 211</v>
      </c>
      <c r="E84" t="str">
        <f t="shared" si="7"/>
        <v>The division of labour in the origin of multicellular eukaryotes: Volvox</v>
      </c>
    </row>
    <row r="85" spans="1:5">
      <c r="A85" t="str">
        <f t="shared" si="5"/>
        <v>12.6</v>
      </c>
      <c r="B85" t="s">
        <v>87</v>
      </c>
      <c r="C85" t="str">
        <f t="shared" si="4"/>
        <v>212</v>
      </c>
      <c r="D85" s="3" t="str">
        <f t="shared" si="6"/>
        <v>Multicellularity through aggregation: myxobacteria and slime moulds 212</v>
      </c>
      <c r="E85" t="str">
        <f t="shared" si="7"/>
        <v>Multicellularity through aggregation: myxobacteria and slime moulds</v>
      </c>
    </row>
    <row r="86" spans="1:5">
      <c r="A86" t="str">
        <f t="shared" si="5"/>
        <v>12.7</v>
      </c>
      <c r="B86" t="s">
        <v>88</v>
      </c>
      <c r="C86" t="str">
        <f t="shared" si="4"/>
        <v>214</v>
      </c>
      <c r="D86" s="3" t="str">
        <f t="shared" si="6"/>
        <v>Two mechanisms of cell differentiation 214</v>
      </c>
      <c r="E86" t="str">
        <f t="shared" si="7"/>
        <v>Two mechanisms of cell differentiation</v>
      </c>
    </row>
    <row r="87" spans="1:5">
      <c r="A87">
        <v>13</v>
      </c>
      <c r="B87" t="s">
        <v>89</v>
      </c>
      <c r="C87" t="str">
        <f t="shared" si="4"/>
        <v>217</v>
      </c>
      <c r="D87" s="3" t="str">
        <f t="shared" si="6"/>
        <v>Gene regulation and cell heredity 217</v>
      </c>
      <c r="E87" t="str">
        <f t="shared" si="7"/>
        <v>Gene regulation and cell heredity</v>
      </c>
    </row>
    <row r="88" spans="1:5">
      <c r="A88" t="str">
        <f t="shared" si="5"/>
        <v>13.1</v>
      </c>
      <c r="B88" t="s">
        <v>90</v>
      </c>
      <c r="C88" t="str">
        <f t="shared" si="4"/>
        <v>219</v>
      </c>
      <c r="D88" s="3" t="str">
        <f t="shared" si="6"/>
        <v>Gene regulation 219</v>
      </c>
      <c r="E88" t="str">
        <f t="shared" si="7"/>
        <v>Gene regulation</v>
      </c>
    </row>
    <row r="89" spans="1:5">
      <c r="A89" t="str">
        <f t="shared" si="5"/>
        <v>13.2</v>
      </c>
      <c r="B89" t="s">
        <v>91</v>
      </c>
      <c r="C89" t="str">
        <f t="shared" si="4"/>
        <v>220</v>
      </c>
      <c r="D89" s="3" t="str">
        <f t="shared" si="6"/>
        <v>Cell heredity 220</v>
      </c>
      <c r="E89" t="str">
        <f t="shared" si="7"/>
        <v>Cell heredity</v>
      </c>
    </row>
    <row r="90" spans="1:5">
      <c r="A90" t="str">
        <f t="shared" si="5"/>
        <v>13.3</v>
      </c>
      <c r="B90" t="s">
        <v>92</v>
      </c>
      <c r="C90" t="str">
        <f t="shared" si="4"/>
        <v>223</v>
      </c>
      <c r="D90" s="3" t="str">
        <f t="shared" si="6"/>
        <v>What had to be invented? 223</v>
      </c>
      <c r="E90" t="str">
        <f t="shared" si="7"/>
        <v>What had to be invented?</v>
      </c>
    </row>
    <row r="91" spans="1:5">
      <c r="A91">
        <v>14</v>
      </c>
      <c r="B91" t="s">
        <v>93</v>
      </c>
      <c r="C91" t="str">
        <f t="shared" si="4"/>
        <v>225</v>
      </c>
      <c r="D91" s="3" t="str">
        <f t="shared" si="6"/>
        <v>The development of spatial patterns 225</v>
      </c>
      <c r="E91" t="str">
        <f t="shared" si="7"/>
        <v>The development of spatial patterns</v>
      </c>
    </row>
    <row r="92" spans="1:5">
      <c r="A92" t="str">
        <f t="shared" si="5"/>
        <v>14.1</v>
      </c>
      <c r="B92" t="s">
        <v>94</v>
      </c>
      <c r="C92" t="str">
        <f t="shared" si="4"/>
        <v>227</v>
      </c>
      <c r="D92" s="3" t="str">
        <f t="shared" si="6"/>
        <v>Flower development as an example of morphogenesis 227</v>
      </c>
      <c r="E92" t="str">
        <f t="shared" si="7"/>
        <v>Flower development as an example of morphogenesis</v>
      </c>
    </row>
    <row r="93" spans="1:5">
      <c r="A93" t="str">
        <f t="shared" si="5"/>
        <v>14.2</v>
      </c>
      <c r="B93" t="s">
        <v>95</v>
      </c>
      <c r="C93" t="str">
        <f t="shared" si="4"/>
        <v>229</v>
      </c>
      <c r="D93" s="3" t="str">
        <f t="shared" si="6"/>
        <v>Positional information: external specification or self-organization? 229</v>
      </c>
      <c r="E93" t="str">
        <f t="shared" si="7"/>
        <v>Positional information: external specification or self-organization?</v>
      </c>
    </row>
    <row r="94" spans="1:5">
      <c r="A94" t="str">
        <f t="shared" si="5"/>
        <v>14.3</v>
      </c>
      <c r="B94" t="s">
        <v>96</v>
      </c>
      <c r="C94" t="str">
        <f t="shared" si="4"/>
        <v>234</v>
      </c>
      <c r="D94" s="3" t="str">
        <f t="shared" si="6"/>
        <v>Positional information in Drosophila and the chick 234</v>
      </c>
      <c r="E94" t="str">
        <f t="shared" si="7"/>
        <v>Positional information in Drosophila and the chick</v>
      </c>
    </row>
    <row r="95" spans="1:5">
      <c r="A95" t="str">
        <f t="shared" si="5"/>
        <v>14.4</v>
      </c>
      <c r="B95" t="s">
        <v>97</v>
      </c>
      <c r="C95" t="str">
        <f t="shared" si="4"/>
        <v>235</v>
      </c>
      <c r="D95" s="3" t="str">
        <f t="shared" si="6"/>
        <v>Segmentation as an example of further elaboration 235</v>
      </c>
      <c r="E95" t="str">
        <f t="shared" si="7"/>
        <v>Segmentation as an example of further elaboration</v>
      </c>
    </row>
    <row r="96" spans="1:5">
      <c r="A96" t="str">
        <f t="shared" si="5"/>
        <v>14.5</v>
      </c>
      <c r="B96" t="s">
        <v>98</v>
      </c>
      <c r="C96" t="str">
        <f t="shared" si="4"/>
        <v>238</v>
      </c>
      <c r="D96" s="3" t="str">
        <f t="shared" si="6"/>
        <v>From Cartesian to polar coordinates: the generation of proximodistal structures 238</v>
      </c>
      <c r="E96" t="str">
        <f t="shared" si="7"/>
        <v>From Cartesian to polar coordinates: the generation of proximodistal structures</v>
      </c>
    </row>
    <row r="97" spans="1:5">
      <c r="A97">
        <v>15</v>
      </c>
      <c r="B97" t="s">
        <v>99</v>
      </c>
      <c r="C97">
        <v>241</v>
      </c>
      <c r="D97" s="3" t="str">
        <f t="shared" si="6"/>
        <v>Development and evolution</v>
      </c>
      <c r="E97" t="str">
        <f t="shared" si="7"/>
        <v>Development and evolu</v>
      </c>
    </row>
    <row r="98" spans="1:5">
      <c r="A98" t="str">
        <f t="shared" si="5"/>
        <v>15.1</v>
      </c>
      <c r="B98" t="s">
        <v>100</v>
      </c>
      <c r="C98">
        <v>243</v>
      </c>
      <c r="D98" s="3" t="str">
        <f t="shared" si="6"/>
        <v>Introduction</v>
      </c>
      <c r="E98" t="str">
        <f t="shared" si="7"/>
        <v>Introduc</v>
      </c>
    </row>
    <row r="99" spans="1:5">
      <c r="A99" t="str">
        <f t="shared" si="5"/>
        <v>15.2</v>
      </c>
      <c r="B99" t="s">
        <v>101</v>
      </c>
      <c r="C99" t="str">
        <f t="shared" si="4"/>
        <v>244</v>
      </c>
      <c r="D99" s="3" t="str">
        <f t="shared" si="6"/>
        <v>Development and the levels of selection 244</v>
      </c>
      <c r="E99" t="str">
        <f t="shared" si="7"/>
        <v>Development and the levels of selection</v>
      </c>
    </row>
    <row r="100" spans="1:5">
      <c r="A100" t="str">
        <f t="shared" si="5"/>
        <v>15.3</v>
      </c>
      <c r="B100" t="s">
        <v>102</v>
      </c>
      <c r="C100" t="str">
        <f t="shared" si="4"/>
        <v>247</v>
      </c>
      <c r="D100" s="3" t="str">
        <f t="shared" si="6"/>
        <v>Cell heredity and the inheritance of acquired characters 247</v>
      </c>
      <c r="E100" t="str">
        <f t="shared" si="7"/>
        <v>Cell heredity and the inheritance of acquired characters</v>
      </c>
    </row>
    <row r="101" spans="1:5">
      <c r="A101" t="str">
        <f t="shared" si="5"/>
        <v>15.4</v>
      </c>
      <c r="B101" t="s">
        <v>103</v>
      </c>
      <c r="C101" t="str">
        <f t="shared" si="4"/>
        <v>250</v>
      </c>
      <c r="D101" s="3" t="str">
        <f t="shared" si="6"/>
        <v>Gene homology in development 250</v>
      </c>
      <c r="E101" t="str">
        <f t="shared" si="7"/>
        <v>Gene homology in development</v>
      </c>
    </row>
    <row r="102" spans="1:5">
      <c r="A102" t="str">
        <f t="shared" si="5"/>
        <v>15.5</v>
      </c>
      <c r="B102" t="s">
        <v>104</v>
      </c>
      <c r="C102" t="str">
        <f t="shared" si="4"/>
        <v>252</v>
      </c>
      <c r="D102" s="3" t="str">
        <f t="shared" si="6"/>
        <v>The zootype and the definition of animals 252</v>
      </c>
      <c r="E102" t="str">
        <f t="shared" si="7"/>
        <v>The zootype and the definition of animals</v>
      </c>
    </row>
    <row r="103" spans="1:5">
      <c r="A103">
        <v>16</v>
      </c>
      <c r="B103" t="s">
        <v>105</v>
      </c>
      <c r="C103">
        <v>255</v>
      </c>
      <c r="D103" s="3" t="str">
        <f t="shared" si="6"/>
        <v>The origins of societies</v>
      </c>
      <c r="E103" t="str">
        <f t="shared" si="7"/>
        <v>The origins of socie</v>
      </c>
    </row>
    <row r="104" spans="1:5">
      <c r="A104" t="str">
        <f t="shared" si="5"/>
        <v>16.1</v>
      </c>
      <c r="B104" t="s">
        <v>106</v>
      </c>
      <c r="C104">
        <v>257</v>
      </c>
      <c r="D104" s="3" t="str">
        <f t="shared" si="6"/>
        <v>Introduction</v>
      </c>
      <c r="E104" t="str">
        <f t="shared" si="7"/>
        <v>Introduc</v>
      </c>
    </row>
    <row r="105" spans="1:5">
      <c r="A105" t="str">
        <f t="shared" si="5"/>
        <v>16.2</v>
      </c>
      <c r="B105" t="s">
        <v>107</v>
      </c>
      <c r="C105">
        <v>258</v>
      </c>
      <c r="D105" s="3" t="str">
        <f t="shared" si="6"/>
        <v>The evolution of cooperation</v>
      </c>
      <c r="E105" t="str">
        <f t="shared" si="7"/>
        <v>The evolution of coopera</v>
      </c>
    </row>
    <row r="106" spans="1:5">
      <c r="A106" t="str">
        <f t="shared" si="5"/>
        <v>16.3</v>
      </c>
      <c r="B106" t="s">
        <v>108</v>
      </c>
      <c r="C106">
        <v>263</v>
      </c>
      <c r="D106" s="3" t="str">
        <f t="shared" si="6"/>
        <v>Kinds of animal society</v>
      </c>
      <c r="E106" t="str">
        <f t="shared" si="7"/>
        <v>Kinds of animal soc</v>
      </c>
    </row>
    <row r="107" spans="1:5">
      <c r="A107" t="str">
        <f t="shared" si="5"/>
        <v>16.4</v>
      </c>
      <c r="B107" t="s">
        <v>109</v>
      </c>
      <c r="C107">
        <v>264</v>
      </c>
      <c r="D107" s="3" t="str">
        <f t="shared" si="6"/>
        <v>The genetics of insect sociality</v>
      </c>
      <c r="E107" t="str">
        <f t="shared" si="7"/>
        <v>The genetics of insect socia</v>
      </c>
    </row>
    <row r="108" spans="1:5">
      <c r="A108" t="str">
        <f t="shared" si="5"/>
        <v>16.5</v>
      </c>
      <c r="B108" t="s">
        <v>110</v>
      </c>
      <c r="C108">
        <v>268</v>
      </c>
      <c r="D108" s="3" t="str">
        <f t="shared" si="6"/>
        <v>The division of labour in animal societies</v>
      </c>
      <c r="E108" t="str">
        <f t="shared" si="7"/>
        <v>The division of labour in animal socie</v>
      </c>
    </row>
    <row r="109" spans="1:5">
      <c r="A109" t="str">
        <f t="shared" si="5"/>
        <v>16.6</v>
      </c>
      <c r="B109" t="s">
        <v>111</v>
      </c>
      <c r="C109">
        <v>270</v>
      </c>
      <c r="D109" s="3" t="str">
        <f t="shared" si="6"/>
        <v>Factors predisposing insects to sociality</v>
      </c>
      <c r="E109" t="str">
        <f t="shared" si="7"/>
        <v>Factors predisposing insects to socia</v>
      </c>
    </row>
    <row r="110" spans="1:5">
      <c r="A110" t="str">
        <f t="shared" si="5"/>
        <v>16.7</v>
      </c>
      <c r="B110" t="s">
        <v>112</v>
      </c>
      <c r="C110">
        <v>271</v>
      </c>
      <c r="D110" s="3" t="str">
        <f t="shared" si="6"/>
        <v>The origins of human society</v>
      </c>
      <c r="E110" t="str">
        <f t="shared" si="7"/>
        <v>The origins of human soc</v>
      </c>
    </row>
    <row r="111" spans="1:5">
      <c r="A111">
        <v>17</v>
      </c>
      <c r="B111" t="s">
        <v>113</v>
      </c>
      <c r="C111">
        <v>279</v>
      </c>
      <c r="D111" s="3" t="str">
        <f t="shared" si="6"/>
        <v>The origin of language</v>
      </c>
      <c r="E111" t="str">
        <f t="shared" si="7"/>
        <v>The origin of lang</v>
      </c>
    </row>
    <row r="112" spans="1:5">
      <c r="A112" t="str">
        <f t="shared" si="5"/>
        <v>17.1</v>
      </c>
      <c r="B112" t="s">
        <v>114</v>
      </c>
      <c r="C112">
        <v>281</v>
      </c>
      <c r="D112" s="3" t="str">
        <f t="shared" si="6"/>
        <v>Introduction</v>
      </c>
      <c r="E112" t="str">
        <f t="shared" si="7"/>
        <v>Introduc</v>
      </c>
    </row>
    <row r="113" spans="1:5">
      <c r="A113" t="str">
        <f t="shared" si="5"/>
        <v>17.2</v>
      </c>
      <c r="B113" t="s">
        <v>115</v>
      </c>
      <c r="C113">
        <v>283</v>
      </c>
      <c r="D113" s="3" t="str">
        <f t="shared" si="6"/>
        <v>Language and representation</v>
      </c>
      <c r="E113" t="str">
        <f t="shared" si="7"/>
        <v>Language and representa</v>
      </c>
    </row>
    <row r="114" spans="1:5">
      <c r="A114" t="str">
        <f t="shared" si="5"/>
        <v>17.3</v>
      </c>
      <c r="B114" t="s">
        <v>116</v>
      </c>
      <c r="C114">
        <v>286</v>
      </c>
      <c r="D114" s="3" t="str">
        <f t="shared" si="6"/>
        <v>Some features of syntax</v>
      </c>
      <c r="E114" t="str">
        <f t="shared" si="7"/>
        <v>Some features of sy</v>
      </c>
    </row>
    <row r="115" spans="1:5">
      <c r="A115" t="str">
        <f t="shared" si="5"/>
        <v>17.4</v>
      </c>
      <c r="B115" t="s">
        <v>117</v>
      </c>
      <c r="C115">
        <v>289</v>
      </c>
      <c r="D115" s="3" t="str">
        <f t="shared" si="6"/>
        <v>Language acquisition</v>
      </c>
      <c r="E115" t="str">
        <f t="shared" si="7"/>
        <v>Language acquisi</v>
      </c>
    </row>
    <row r="116" spans="1:5">
      <c r="A116" t="str">
        <f t="shared" si="5"/>
        <v>17.5</v>
      </c>
      <c r="B116" t="s">
        <v>118</v>
      </c>
      <c r="C116">
        <v>290</v>
      </c>
      <c r="D116" s="3" t="str">
        <f t="shared" si="6"/>
        <v>Natural selection for language</v>
      </c>
      <c r="E116" t="str">
        <f t="shared" si="7"/>
        <v>Natural selection for lang</v>
      </c>
    </row>
    <row r="117" spans="1:5">
      <c r="A117" t="str">
        <f t="shared" si="5"/>
        <v>17.6</v>
      </c>
      <c r="B117" t="s">
        <v>119</v>
      </c>
      <c r="C117">
        <v>293</v>
      </c>
      <c r="D117" s="3" t="str">
        <f t="shared" si="6"/>
        <v>Tool use and language: hierarchically organized sequential behaviour</v>
      </c>
      <c r="E117" t="str">
        <f t="shared" si="7"/>
        <v>Tool use and language: hierarchically organized sequential behav</v>
      </c>
    </row>
    <row r="118" spans="1:5">
      <c r="A118" t="str">
        <f t="shared" si="5"/>
        <v>17.7</v>
      </c>
      <c r="B118" t="s">
        <v>120</v>
      </c>
      <c r="C118">
        <v>300</v>
      </c>
      <c r="D118" s="3" t="str">
        <f t="shared" si="6"/>
        <v>Brain damage and language disorders</v>
      </c>
      <c r="E118" t="str">
        <f t="shared" si="7"/>
        <v>Brain damage and language disor</v>
      </c>
    </row>
    <row r="119" spans="1:5">
      <c r="A119" t="str">
        <f t="shared" si="5"/>
        <v>17.8</v>
      </c>
      <c r="B119" t="s">
        <v>121</v>
      </c>
      <c r="C119">
        <v>301</v>
      </c>
      <c r="D119" s="3" t="str">
        <f t="shared" si="6"/>
        <v>The genetics of language disorders</v>
      </c>
      <c r="E119" t="str">
        <f t="shared" si="7"/>
        <v>The genetics of language disor</v>
      </c>
    </row>
    <row r="120" spans="1:5">
      <c r="A120" t="str">
        <f t="shared" si="5"/>
        <v>17.9</v>
      </c>
      <c r="B120" t="s">
        <v>122</v>
      </c>
      <c r="C120">
        <v>303</v>
      </c>
      <c r="D120" s="3" t="str">
        <f t="shared" si="6"/>
        <v>Proto language</v>
      </c>
      <c r="E120" t="str">
        <f t="shared" si="7"/>
        <v>Proto lang</v>
      </c>
    </row>
    <row r="121" spans="1:5">
      <c r="A121" s="2" t="s">
        <v>266</v>
      </c>
      <c r="B121" t="s">
        <v>123</v>
      </c>
      <c r="C121">
        <v>305</v>
      </c>
      <c r="D121" s="3" t="str">
        <f t="shared" si="6"/>
        <v>From protolanguage to language</v>
      </c>
      <c r="E121" t="str">
        <f t="shared" si="7"/>
        <v>From protolanguage to lang</v>
      </c>
    </row>
    <row r="122" spans="1:5">
      <c r="A122">
        <v>17.11</v>
      </c>
      <c r="B122" t="s">
        <v>124</v>
      </c>
      <c r="C122">
        <v>308</v>
      </c>
      <c r="D122" s="3" t="str">
        <f t="shared" si="6"/>
        <v>Conclusions</v>
      </c>
      <c r="E122" t="str">
        <f t="shared" si="7"/>
        <v>Conclus</v>
      </c>
    </row>
  </sheetData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2"/>
  <sheetViews>
    <sheetView topLeftCell="A96" zoomScaleNormal="100" workbookViewId="0">
      <selection activeCell="B119" sqref="B119"/>
    </sheetView>
  </sheetViews>
  <sheetFormatPr defaultColWidth="8.7265625" defaultRowHeight="14.5"/>
  <cols>
    <col min="1" max="1" width="5.81640625" bestFit="1" customWidth="1"/>
    <col min="2" max="2" width="120.6328125" customWidth="1"/>
    <col min="3" max="3" width="3.81640625" bestFit="1" customWidth="1"/>
  </cols>
  <sheetData>
    <row r="1" spans="1:7">
      <c r="A1" s="4">
        <v>1</v>
      </c>
      <c r="B1" s="5" t="s">
        <v>601</v>
      </c>
      <c r="C1" s="5">
        <v>1</v>
      </c>
      <c r="D1" s="6"/>
      <c r="E1" s="6"/>
      <c r="F1" s="6"/>
      <c r="G1" s="5" t="s">
        <v>1</v>
      </c>
    </row>
    <row r="2" spans="1:7">
      <c r="A2" s="4" t="s">
        <v>494</v>
      </c>
      <c r="B2" s="5" t="s">
        <v>602</v>
      </c>
      <c r="C2" s="5">
        <v>3</v>
      </c>
      <c r="D2" s="6"/>
      <c r="E2" s="6"/>
      <c r="F2" s="6"/>
      <c r="G2" s="5" t="s">
        <v>3</v>
      </c>
    </row>
    <row r="3" spans="1:7">
      <c r="A3" s="4" t="s">
        <v>495</v>
      </c>
      <c r="B3" s="5" t="s">
        <v>603</v>
      </c>
      <c r="C3" s="5">
        <v>4</v>
      </c>
      <c r="D3" s="6"/>
      <c r="E3" s="6"/>
      <c r="F3" s="6"/>
      <c r="G3" s="5" t="s">
        <v>4</v>
      </c>
    </row>
    <row r="4" spans="1:7">
      <c r="A4" s="4" t="s">
        <v>496</v>
      </c>
      <c r="B4" s="5" t="s">
        <v>604</v>
      </c>
      <c r="C4" s="5">
        <v>5</v>
      </c>
      <c r="D4" s="6"/>
      <c r="E4" s="6"/>
      <c r="F4" s="6"/>
      <c r="G4" s="5"/>
    </row>
    <row r="5" spans="1:7">
      <c r="A5" s="4" t="s">
        <v>497</v>
      </c>
      <c r="B5" s="5" t="s">
        <v>605</v>
      </c>
      <c r="C5" s="5">
        <v>6</v>
      </c>
      <c r="D5" s="6"/>
      <c r="E5" s="6"/>
      <c r="F5" s="6"/>
      <c r="G5" s="5"/>
    </row>
    <row r="6" spans="1:7">
      <c r="A6" s="4" t="s">
        <v>498</v>
      </c>
      <c r="B6" s="5" t="s">
        <v>606</v>
      </c>
      <c r="C6" s="5">
        <v>10</v>
      </c>
      <c r="D6" s="6"/>
      <c r="E6" s="6"/>
      <c r="F6" s="6"/>
      <c r="G6" s="5"/>
    </row>
    <row r="7" spans="1:7">
      <c r="A7" s="4" t="s">
        <v>499</v>
      </c>
      <c r="B7" s="5" t="s">
        <v>607</v>
      </c>
      <c r="C7" s="5">
        <v>12</v>
      </c>
      <c r="D7" s="6"/>
      <c r="E7" s="6"/>
      <c r="F7" s="6"/>
      <c r="G7" s="5"/>
    </row>
    <row r="8" spans="1:7">
      <c r="A8" s="4">
        <v>2</v>
      </c>
      <c r="B8" s="5" t="s">
        <v>608</v>
      </c>
      <c r="C8" s="5">
        <v>15</v>
      </c>
      <c r="D8" s="6"/>
      <c r="E8" s="6"/>
      <c r="F8" s="6"/>
      <c r="G8" s="5"/>
    </row>
    <row r="9" spans="1:7">
      <c r="A9" s="4" t="s">
        <v>500</v>
      </c>
      <c r="B9" s="5" t="s">
        <v>609</v>
      </c>
      <c r="C9" s="5">
        <v>17</v>
      </c>
      <c r="D9" s="6"/>
      <c r="E9" s="6"/>
      <c r="F9" s="6"/>
      <c r="G9" s="5"/>
    </row>
    <row r="10" spans="1:7">
      <c r="A10" s="4" t="s">
        <v>501</v>
      </c>
      <c r="B10" s="5" t="s">
        <v>610</v>
      </c>
      <c r="C10" s="5">
        <v>18</v>
      </c>
      <c r="D10" s="6"/>
      <c r="E10" s="6"/>
      <c r="F10" s="6"/>
      <c r="G10" s="5"/>
    </row>
    <row r="11" spans="1:7">
      <c r="A11" s="4" t="s">
        <v>502</v>
      </c>
      <c r="B11" s="5" t="s">
        <v>611</v>
      </c>
      <c r="C11" s="5">
        <v>20</v>
      </c>
      <c r="D11" s="6"/>
      <c r="E11" s="6"/>
      <c r="F11" s="6"/>
      <c r="G11" s="5"/>
    </row>
    <row r="12" spans="1:7">
      <c r="A12" s="4">
        <v>3</v>
      </c>
      <c r="B12" s="6" t="s">
        <v>722</v>
      </c>
      <c r="C12" s="5">
        <v>25</v>
      </c>
      <c r="D12" s="6"/>
      <c r="E12" s="6"/>
      <c r="F12" s="6"/>
      <c r="G12" s="5"/>
    </row>
    <row r="13" spans="1:7">
      <c r="A13" s="4" t="s">
        <v>503</v>
      </c>
      <c r="B13" s="5" t="s">
        <v>601</v>
      </c>
      <c r="C13" s="5">
        <v>27</v>
      </c>
      <c r="D13" s="6"/>
      <c r="E13" s="6"/>
      <c r="F13" s="6"/>
      <c r="G13" s="5"/>
    </row>
    <row r="14" spans="1:7">
      <c r="A14" s="4" t="s">
        <v>504</v>
      </c>
      <c r="B14" s="5" t="s">
        <v>612</v>
      </c>
      <c r="C14" s="5">
        <v>28</v>
      </c>
      <c r="D14" s="6"/>
      <c r="E14" s="6"/>
      <c r="F14" s="6"/>
      <c r="G14" s="5"/>
    </row>
    <row r="15" spans="1:7">
      <c r="A15" s="4" t="s">
        <v>505</v>
      </c>
      <c r="B15" s="5" t="s">
        <v>613</v>
      </c>
      <c r="C15" s="5">
        <v>32</v>
      </c>
      <c r="D15" s="6"/>
      <c r="E15" s="6"/>
      <c r="F15" s="6"/>
      <c r="G15" s="5"/>
    </row>
    <row r="16" spans="1:7">
      <c r="A16" s="4" t="s">
        <v>506</v>
      </c>
      <c r="B16" s="5" t="s">
        <v>614</v>
      </c>
      <c r="C16" s="5">
        <v>33</v>
      </c>
      <c r="D16" s="6"/>
      <c r="E16" s="6"/>
      <c r="F16" s="6"/>
      <c r="G16" s="5"/>
    </row>
    <row r="17" spans="1:7">
      <c r="A17" s="4" t="s">
        <v>507</v>
      </c>
      <c r="B17" s="5" t="s">
        <v>598</v>
      </c>
      <c r="C17" s="5">
        <v>34</v>
      </c>
      <c r="D17" s="6"/>
      <c r="E17" s="6"/>
      <c r="F17" s="6"/>
      <c r="G17" s="5"/>
    </row>
    <row r="18" spans="1:7">
      <c r="A18" s="4" t="s">
        <v>508</v>
      </c>
      <c r="B18" s="5" t="s">
        <v>599</v>
      </c>
      <c r="C18" s="5">
        <v>35</v>
      </c>
      <c r="D18" s="6"/>
      <c r="E18" s="6"/>
      <c r="F18" s="6"/>
      <c r="G18" s="5"/>
    </row>
    <row r="19" spans="1:7">
      <c r="A19" s="4" t="s">
        <v>509</v>
      </c>
      <c r="B19" s="5" t="s">
        <v>600</v>
      </c>
      <c r="C19" s="5">
        <v>36</v>
      </c>
      <c r="D19" s="6"/>
      <c r="E19" s="6"/>
      <c r="F19" s="6"/>
      <c r="G19" s="5"/>
    </row>
    <row r="20" spans="1:7">
      <c r="A20" s="4" t="s">
        <v>510</v>
      </c>
      <c r="B20" s="5" t="s">
        <v>615</v>
      </c>
      <c r="C20" s="5">
        <v>37</v>
      </c>
      <c r="D20" s="6"/>
      <c r="E20" s="6"/>
      <c r="F20" s="6"/>
      <c r="G20" s="5"/>
    </row>
    <row r="21" spans="1:7">
      <c r="A21" s="4">
        <v>4</v>
      </c>
      <c r="B21" s="5" t="s">
        <v>616</v>
      </c>
      <c r="C21" s="5">
        <v>39</v>
      </c>
      <c r="D21" s="6"/>
      <c r="E21" s="6"/>
      <c r="F21" s="6"/>
      <c r="G21" s="5"/>
    </row>
    <row r="22" spans="1:7">
      <c r="A22" s="4" t="s">
        <v>511</v>
      </c>
      <c r="B22" s="5" t="s">
        <v>601</v>
      </c>
      <c r="C22" s="5">
        <v>41</v>
      </c>
      <c r="D22" s="6"/>
      <c r="E22" s="6"/>
      <c r="F22" s="6"/>
      <c r="G22" s="5"/>
    </row>
    <row r="23" spans="1:7">
      <c r="A23" s="4" t="s">
        <v>512</v>
      </c>
      <c r="B23" s="5" t="s">
        <v>617</v>
      </c>
      <c r="C23" s="5">
        <v>41</v>
      </c>
      <c r="D23" s="6"/>
      <c r="E23" s="6"/>
      <c r="F23" s="6"/>
      <c r="G23" s="5"/>
    </row>
    <row r="24" spans="1:7">
      <c r="A24" s="4" t="s">
        <v>513</v>
      </c>
      <c r="B24" s="5" t="s">
        <v>618</v>
      </c>
      <c r="C24" s="5">
        <v>44</v>
      </c>
      <c r="D24" s="6"/>
      <c r="E24" s="6"/>
      <c r="F24" s="6"/>
      <c r="G24" s="5"/>
    </row>
    <row r="25" spans="1:7">
      <c r="A25" s="4" t="s">
        <v>514</v>
      </c>
      <c r="B25" s="5" t="s">
        <v>619</v>
      </c>
      <c r="C25" s="5">
        <v>49</v>
      </c>
      <c r="D25" s="6"/>
      <c r="E25" s="6"/>
      <c r="F25" s="6"/>
      <c r="G25" s="5"/>
    </row>
    <row r="26" spans="1:7">
      <c r="A26" s="4" t="s">
        <v>515</v>
      </c>
      <c r="B26" s="5" t="s">
        <v>620</v>
      </c>
      <c r="C26" s="5">
        <v>51</v>
      </c>
      <c r="D26" s="6"/>
      <c r="E26" s="6"/>
      <c r="F26" s="6"/>
      <c r="G26" s="5"/>
    </row>
    <row r="27" spans="1:7">
      <c r="A27" s="4" t="s">
        <v>516</v>
      </c>
      <c r="B27" s="5" t="s">
        <v>621</v>
      </c>
      <c r="C27" s="5">
        <v>55</v>
      </c>
      <c r="D27" s="6"/>
      <c r="E27" s="6"/>
      <c r="F27" s="6"/>
      <c r="G27" s="5"/>
    </row>
    <row r="28" spans="1:7">
      <c r="A28" s="4" t="s">
        <v>517</v>
      </c>
      <c r="B28" s="5" t="s">
        <v>615</v>
      </c>
      <c r="C28" s="5">
        <v>58</v>
      </c>
      <c r="D28" s="6"/>
      <c r="E28" s="6"/>
      <c r="F28" s="6"/>
      <c r="G28" s="5"/>
    </row>
    <row r="29" spans="1:7">
      <c r="A29" s="4">
        <v>5</v>
      </c>
      <c r="B29" s="5" t="s">
        <v>622</v>
      </c>
      <c r="C29" s="5">
        <v>59</v>
      </c>
      <c r="D29" s="6"/>
      <c r="E29" s="6"/>
      <c r="F29" s="6"/>
      <c r="G29" s="5"/>
    </row>
    <row r="30" spans="1:7">
      <c r="A30" s="4" t="s">
        <v>518</v>
      </c>
      <c r="B30" s="5" t="s">
        <v>601</v>
      </c>
      <c r="C30" s="5">
        <v>61</v>
      </c>
      <c r="D30" s="6"/>
      <c r="E30" s="6"/>
      <c r="F30" s="6"/>
      <c r="G30" s="5"/>
    </row>
    <row r="31" spans="1:7">
      <c r="A31" s="4" t="s">
        <v>519</v>
      </c>
      <c r="B31" s="5" t="s">
        <v>623</v>
      </c>
      <c r="C31" s="5">
        <v>61</v>
      </c>
      <c r="D31" s="6"/>
      <c r="E31" s="6"/>
      <c r="F31" s="6"/>
      <c r="G31" s="5"/>
    </row>
    <row r="32" spans="1:7">
      <c r="A32" s="4" t="s">
        <v>520</v>
      </c>
      <c r="B32" s="5" t="s">
        <v>624</v>
      </c>
      <c r="C32" s="5">
        <v>67</v>
      </c>
      <c r="D32" s="6"/>
      <c r="E32" s="6"/>
      <c r="F32" s="6"/>
      <c r="G32" s="5"/>
    </row>
    <row r="33" spans="1:7">
      <c r="A33" s="4" t="s">
        <v>521</v>
      </c>
      <c r="B33" s="5" t="s">
        <v>625</v>
      </c>
      <c r="C33" s="5">
        <v>72</v>
      </c>
      <c r="D33" s="6"/>
      <c r="E33" s="6"/>
      <c r="F33" s="6"/>
      <c r="G33" s="5"/>
    </row>
    <row r="34" spans="1:7">
      <c r="A34" s="4" t="s">
        <v>522</v>
      </c>
      <c r="B34" s="5" t="s">
        <v>626</v>
      </c>
      <c r="C34" s="5">
        <v>75</v>
      </c>
      <c r="D34" s="6"/>
      <c r="E34" s="6"/>
      <c r="F34" s="6"/>
      <c r="G34" s="5"/>
    </row>
    <row r="35" spans="1:7">
      <c r="A35" s="4">
        <v>6</v>
      </c>
      <c r="B35" s="5" t="s">
        <v>684</v>
      </c>
      <c r="C35" s="5">
        <v>79</v>
      </c>
      <c r="D35" s="6"/>
      <c r="E35" s="6"/>
      <c r="F35" s="6"/>
      <c r="G35" s="5"/>
    </row>
    <row r="36" spans="1:7">
      <c r="A36" s="4" t="s">
        <v>523</v>
      </c>
      <c r="B36" s="5" t="s">
        <v>627</v>
      </c>
      <c r="C36" s="5">
        <v>81</v>
      </c>
      <c r="D36" s="6"/>
      <c r="E36" s="6"/>
      <c r="F36" s="6"/>
      <c r="G36" s="5"/>
    </row>
    <row r="37" spans="1:7">
      <c r="A37" s="4" t="s">
        <v>524</v>
      </c>
      <c r="B37" s="5" t="s">
        <v>628</v>
      </c>
      <c r="C37" s="5">
        <v>84</v>
      </c>
      <c r="D37" s="6"/>
      <c r="E37" s="6"/>
      <c r="F37" s="6"/>
      <c r="G37" s="5"/>
    </row>
    <row r="38" spans="1:7">
      <c r="A38" s="4" t="s">
        <v>525</v>
      </c>
      <c r="B38" s="5" t="s">
        <v>629</v>
      </c>
      <c r="C38" s="5">
        <v>89</v>
      </c>
      <c r="D38" s="6"/>
      <c r="E38" s="6"/>
      <c r="F38" s="6"/>
      <c r="G38" s="5"/>
    </row>
    <row r="39" spans="1:7">
      <c r="A39" s="4">
        <v>7</v>
      </c>
      <c r="B39" s="5" t="s">
        <v>630</v>
      </c>
      <c r="C39" s="5">
        <v>97</v>
      </c>
      <c r="D39" s="6"/>
      <c r="E39" s="6"/>
      <c r="F39" s="6"/>
      <c r="G39" s="5"/>
    </row>
    <row r="40" spans="1:7">
      <c r="A40" s="4" t="s">
        <v>526</v>
      </c>
      <c r="B40" s="5" t="s">
        <v>631</v>
      </c>
      <c r="C40" s="5">
        <v>99</v>
      </c>
      <c r="D40" s="6"/>
      <c r="E40" s="6"/>
      <c r="F40" s="6"/>
      <c r="G40" s="5"/>
    </row>
    <row r="41" spans="1:7">
      <c r="A41" s="4" t="s">
        <v>527</v>
      </c>
      <c r="B41" s="5" t="s">
        <v>632</v>
      </c>
      <c r="C41" s="5">
        <v>99</v>
      </c>
      <c r="D41" s="6"/>
      <c r="E41" s="6"/>
      <c r="F41" s="6"/>
      <c r="G41" s="5"/>
    </row>
    <row r="42" spans="1:7">
      <c r="A42" s="4" t="s">
        <v>528</v>
      </c>
      <c r="B42" s="5" t="s">
        <v>633</v>
      </c>
      <c r="C42" s="5">
        <v>102</v>
      </c>
      <c r="D42" s="6"/>
      <c r="E42" s="6"/>
      <c r="F42" s="6"/>
      <c r="G42" s="5"/>
    </row>
    <row r="43" spans="1:7">
      <c r="A43" s="4" t="s">
        <v>529</v>
      </c>
      <c r="B43" s="5" t="s">
        <v>634</v>
      </c>
      <c r="C43" s="5">
        <v>105</v>
      </c>
      <c r="D43" s="6"/>
      <c r="E43" s="6"/>
      <c r="F43" s="6"/>
      <c r="G43" s="5"/>
    </row>
    <row r="44" spans="1:7">
      <c r="A44" s="4" t="s">
        <v>530</v>
      </c>
      <c r="B44" s="5" t="s">
        <v>635</v>
      </c>
      <c r="C44" s="5">
        <v>106</v>
      </c>
      <c r="D44" s="6"/>
      <c r="E44" s="6"/>
      <c r="F44" s="6"/>
      <c r="G44" s="5"/>
    </row>
    <row r="45" spans="1:7">
      <c r="A45" s="4" t="s">
        <v>531</v>
      </c>
      <c r="B45" s="5" t="s">
        <v>636</v>
      </c>
      <c r="C45" s="5">
        <v>108</v>
      </c>
      <c r="D45" s="6"/>
      <c r="E45" s="6"/>
      <c r="F45" s="6"/>
      <c r="G45" s="5"/>
    </row>
    <row r="46" spans="1:7">
      <c r="A46" s="4" t="s">
        <v>532</v>
      </c>
      <c r="B46" s="5" t="s">
        <v>637</v>
      </c>
      <c r="C46" s="5">
        <v>109</v>
      </c>
      <c r="D46" s="6"/>
      <c r="E46" s="6"/>
      <c r="F46" s="6"/>
      <c r="G46" s="5"/>
    </row>
    <row r="47" spans="1:7">
      <c r="A47" s="4" t="s">
        <v>533</v>
      </c>
      <c r="B47" s="5" t="s">
        <v>638</v>
      </c>
      <c r="C47" s="5">
        <v>110</v>
      </c>
      <c r="D47" s="6"/>
      <c r="E47" s="6"/>
      <c r="F47" s="6"/>
      <c r="G47" s="5"/>
    </row>
    <row r="48" spans="1:7">
      <c r="A48" s="4" t="s">
        <v>534</v>
      </c>
      <c r="B48" s="5" t="s">
        <v>639</v>
      </c>
      <c r="C48" s="5">
        <v>114</v>
      </c>
      <c r="D48" s="6"/>
      <c r="E48" s="6"/>
      <c r="F48" s="6"/>
      <c r="G48" s="5"/>
    </row>
    <row r="49" spans="1:7">
      <c r="A49" s="4">
        <v>8</v>
      </c>
      <c r="B49" s="5" t="s">
        <v>640</v>
      </c>
      <c r="C49" s="5">
        <v>119</v>
      </c>
      <c r="D49" s="6"/>
      <c r="E49" s="6"/>
      <c r="F49" s="6"/>
      <c r="G49" s="5"/>
    </row>
    <row r="50" spans="1:7">
      <c r="A50" s="4" t="s">
        <v>535</v>
      </c>
      <c r="B50" s="5" t="s">
        <v>641</v>
      </c>
      <c r="C50" s="5">
        <v>121</v>
      </c>
      <c r="D50" s="6"/>
      <c r="E50" s="6"/>
      <c r="F50" s="6"/>
      <c r="G50" s="5"/>
    </row>
    <row r="51" spans="1:7">
      <c r="A51" s="4" t="s">
        <v>536</v>
      </c>
      <c r="B51" s="5" t="s">
        <v>642</v>
      </c>
      <c r="C51" s="5">
        <v>124</v>
      </c>
      <c r="D51" s="6"/>
      <c r="E51" s="6"/>
      <c r="F51" s="6"/>
      <c r="G51" s="5"/>
    </row>
    <row r="52" spans="1:7">
      <c r="A52" s="4" t="s">
        <v>537</v>
      </c>
      <c r="B52" s="5" t="s">
        <v>643</v>
      </c>
      <c r="C52" s="5">
        <v>125</v>
      </c>
      <c r="D52" s="6"/>
      <c r="E52" s="6"/>
      <c r="F52" s="6"/>
      <c r="G52" s="5"/>
    </row>
    <row r="53" spans="1:7">
      <c r="A53" s="4" t="s">
        <v>538</v>
      </c>
      <c r="B53" s="5" t="s">
        <v>644</v>
      </c>
      <c r="C53" s="5">
        <v>126</v>
      </c>
      <c r="D53" s="6"/>
      <c r="E53" s="6"/>
      <c r="F53" s="6"/>
      <c r="G53" s="5"/>
    </row>
    <row r="54" spans="1:7">
      <c r="A54" s="4" t="s">
        <v>539</v>
      </c>
      <c r="B54" s="5" t="s">
        <v>645</v>
      </c>
      <c r="C54" s="5">
        <v>132</v>
      </c>
      <c r="D54" s="6"/>
      <c r="E54" s="6"/>
      <c r="F54" s="6"/>
      <c r="G54" s="5"/>
    </row>
    <row r="55" spans="1:7">
      <c r="A55" s="4" t="s">
        <v>540</v>
      </c>
      <c r="B55" s="5" t="s">
        <v>646</v>
      </c>
      <c r="C55" s="5">
        <v>137</v>
      </c>
      <c r="D55" s="6"/>
      <c r="E55" s="6"/>
      <c r="F55" s="6"/>
      <c r="G55" s="5"/>
    </row>
    <row r="56" spans="1:7">
      <c r="A56" s="4" t="s">
        <v>541</v>
      </c>
      <c r="B56" s="5" t="s">
        <v>647</v>
      </c>
      <c r="C56" s="5">
        <v>142</v>
      </c>
      <c r="D56" s="6"/>
      <c r="E56" s="6"/>
      <c r="F56" s="6"/>
      <c r="G56" s="5"/>
    </row>
    <row r="57" spans="1:7">
      <c r="A57" s="4" t="s">
        <v>542</v>
      </c>
      <c r="B57" s="5" t="s">
        <v>648</v>
      </c>
      <c r="C57" s="5">
        <v>145</v>
      </c>
      <c r="D57" s="6"/>
      <c r="E57" s="6"/>
      <c r="F57" s="6"/>
      <c r="G57" s="5"/>
    </row>
    <row r="58" spans="1:7">
      <c r="A58" s="4">
        <v>9</v>
      </c>
      <c r="B58" s="5" t="s">
        <v>649</v>
      </c>
      <c r="C58" s="5">
        <v>147</v>
      </c>
      <c r="D58" s="6"/>
      <c r="E58" s="6"/>
      <c r="F58" s="6"/>
      <c r="G58" s="5"/>
    </row>
    <row r="59" spans="1:7">
      <c r="A59" s="4" t="s">
        <v>543</v>
      </c>
      <c r="B59" s="5" t="s">
        <v>601</v>
      </c>
      <c r="C59" s="5">
        <v>149</v>
      </c>
      <c r="D59" s="6"/>
      <c r="E59" s="6"/>
      <c r="F59" s="6"/>
      <c r="G59" s="5"/>
    </row>
    <row r="60" spans="1:7">
      <c r="A60" s="4" t="s">
        <v>544</v>
      </c>
      <c r="B60" s="5" t="s">
        <v>650</v>
      </c>
      <c r="C60" s="5">
        <v>149</v>
      </c>
      <c r="D60" s="6"/>
      <c r="E60" s="6"/>
      <c r="F60" s="6"/>
      <c r="G60" s="5"/>
    </row>
    <row r="61" spans="1:7">
      <c r="A61" s="4" t="s">
        <v>545</v>
      </c>
      <c r="B61" s="5" t="s">
        <v>651</v>
      </c>
      <c r="C61" s="5">
        <v>150</v>
      </c>
      <c r="D61" s="6"/>
      <c r="E61" s="6"/>
      <c r="F61" s="6"/>
      <c r="G61" s="5"/>
    </row>
    <row r="62" spans="1:7">
      <c r="A62" s="4" t="s">
        <v>546</v>
      </c>
      <c r="B62" s="5" t="s">
        <v>652</v>
      </c>
      <c r="C62" s="5">
        <v>159</v>
      </c>
      <c r="D62" s="6"/>
      <c r="E62" s="6"/>
      <c r="F62" s="6"/>
      <c r="G62" s="5"/>
    </row>
    <row r="63" spans="1:7">
      <c r="A63" s="4" t="s">
        <v>547</v>
      </c>
      <c r="B63" s="5" t="s">
        <v>653</v>
      </c>
      <c r="C63" s="5">
        <v>163</v>
      </c>
      <c r="D63" s="6"/>
      <c r="E63" s="6"/>
      <c r="F63" s="6"/>
      <c r="G63" s="5"/>
    </row>
    <row r="64" spans="1:7">
      <c r="A64" s="4" t="s">
        <v>548</v>
      </c>
      <c r="B64" s="11" t="s">
        <v>726</v>
      </c>
      <c r="C64" s="5">
        <v>169</v>
      </c>
      <c r="D64" s="6"/>
      <c r="E64" s="6"/>
      <c r="F64" s="6"/>
      <c r="G64" s="5"/>
    </row>
    <row r="65" spans="1:7">
      <c r="A65" s="4" t="s">
        <v>549</v>
      </c>
      <c r="B65" s="5" t="s">
        <v>601</v>
      </c>
      <c r="C65" s="5">
        <v>171</v>
      </c>
      <c r="D65" s="6"/>
      <c r="E65" s="6"/>
      <c r="F65" s="6"/>
      <c r="G65" s="5"/>
    </row>
    <row r="66" spans="1:7">
      <c r="A66" s="4" t="s">
        <v>550</v>
      </c>
      <c r="B66" s="5" t="s">
        <v>654</v>
      </c>
      <c r="C66" s="5">
        <v>172</v>
      </c>
      <c r="D66" s="6"/>
      <c r="E66" s="6"/>
      <c r="F66" s="6"/>
      <c r="G66" s="5"/>
    </row>
    <row r="67" spans="1:7">
      <c r="A67" s="4" t="s">
        <v>551</v>
      </c>
      <c r="B67" s="5" t="s">
        <v>655</v>
      </c>
      <c r="C67" s="5">
        <v>176</v>
      </c>
      <c r="D67" s="6"/>
      <c r="E67" s="6"/>
      <c r="F67" s="6"/>
      <c r="G67" s="5"/>
    </row>
    <row r="68" spans="1:7">
      <c r="A68" s="4" t="s">
        <v>552</v>
      </c>
      <c r="B68" s="5" t="s">
        <v>656</v>
      </c>
      <c r="C68" s="5">
        <v>182</v>
      </c>
      <c r="D68" s="6"/>
      <c r="E68" s="6"/>
      <c r="F68" s="6"/>
      <c r="G68" s="5"/>
    </row>
    <row r="69" spans="1:7">
      <c r="A69" s="4" t="s">
        <v>553</v>
      </c>
      <c r="B69" s="5" t="s">
        <v>657</v>
      </c>
      <c r="C69" s="5">
        <v>183</v>
      </c>
      <c r="D69" s="6"/>
      <c r="E69" s="6"/>
      <c r="F69" s="6"/>
      <c r="G69" s="5"/>
    </row>
    <row r="70" spans="1:7">
      <c r="A70" s="4" t="s">
        <v>554</v>
      </c>
      <c r="B70" s="5" t="s">
        <v>658</v>
      </c>
      <c r="C70" s="5">
        <v>187</v>
      </c>
      <c r="D70" s="6"/>
      <c r="E70" s="6"/>
      <c r="F70" s="6"/>
      <c r="G70" s="5"/>
    </row>
    <row r="71" spans="1:7">
      <c r="A71" s="4" t="s">
        <v>555</v>
      </c>
      <c r="B71" s="5" t="s">
        <v>601</v>
      </c>
      <c r="C71" s="5">
        <v>189</v>
      </c>
      <c r="D71" s="6"/>
      <c r="E71" s="6"/>
      <c r="F71" s="6"/>
      <c r="G71" s="5"/>
    </row>
    <row r="72" spans="1:7">
      <c r="A72" s="4" t="s">
        <v>556</v>
      </c>
      <c r="B72" s="5" t="s">
        <v>659</v>
      </c>
      <c r="C72" s="5">
        <v>189</v>
      </c>
      <c r="D72" s="6"/>
      <c r="E72" s="6"/>
      <c r="F72" s="6"/>
      <c r="G72" s="5"/>
    </row>
    <row r="73" spans="1:7">
      <c r="A73" s="4" t="s">
        <v>557</v>
      </c>
      <c r="B73" s="5" t="s">
        <v>660</v>
      </c>
      <c r="C73" s="5">
        <v>191</v>
      </c>
      <c r="D73" s="6"/>
      <c r="E73" s="6"/>
      <c r="F73" s="6"/>
      <c r="G73" s="5"/>
    </row>
    <row r="74" spans="1:7">
      <c r="A74" s="4" t="s">
        <v>558</v>
      </c>
      <c r="B74" s="5" t="s">
        <v>661</v>
      </c>
      <c r="C74" s="5">
        <v>195</v>
      </c>
      <c r="D74" s="6"/>
      <c r="E74" s="6"/>
      <c r="F74" s="6"/>
      <c r="G74" s="5"/>
    </row>
    <row r="75" spans="1:7">
      <c r="A75" s="4" t="s">
        <v>559</v>
      </c>
      <c r="B75" s="5" t="s">
        <v>662</v>
      </c>
      <c r="C75" s="5">
        <v>196</v>
      </c>
      <c r="D75" s="6"/>
      <c r="E75" s="6"/>
      <c r="F75" s="6"/>
      <c r="G75" s="5"/>
    </row>
    <row r="76" spans="1:7">
      <c r="A76" s="4" t="s">
        <v>560</v>
      </c>
      <c r="B76" s="5" t="s">
        <v>663</v>
      </c>
      <c r="C76" s="5">
        <v>196</v>
      </c>
      <c r="D76" s="6"/>
      <c r="E76" s="6"/>
      <c r="F76" s="6"/>
      <c r="G76" s="5"/>
    </row>
    <row r="77" spans="1:7">
      <c r="A77" s="4" t="s">
        <v>561</v>
      </c>
      <c r="B77" s="5" t="s">
        <v>664</v>
      </c>
      <c r="C77" s="5">
        <v>198</v>
      </c>
      <c r="D77" s="6"/>
      <c r="E77" s="6"/>
      <c r="F77" s="6"/>
      <c r="G77" s="5"/>
    </row>
    <row r="78" spans="1:7">
      <c r="A78" s="4" t="s">
        <v>562</v>
      </c>
      <c r="B78" s="5" t="s">
        <v>665</v>
      </c>
      <c r="C78" s="5">
        <v>199</v>
      </c>
      <c r="D78" s="6"/>
      <c r="E78" s="6"/>
      <c r="F78" s="6"/>
      <c r="G78" s="5"/>
    </row>
    <row r="79" spans="1:7">
      <c r="A79" s="4">
        <v>12</v>
      </c>
      <c r="B79" s="5" t="s">
        <v>666</v>
      </c>
      <c r="C79" s="5">
        <v>201</v>
      </c>
      <c r="D79" s="6"/>
      <c r="E79" s="6"/>
      <c r="F79" s="6"/>
      <c r="G79" s="5"/>
    </row>
    <row r="80" spans="1:7">
      <c r="A80" s="4" t="s">
        <v>563</v>
      </c>
      <c r="B80" s="5" t="s">
        <v>667</v>
      </c>
      <c r="C80" s="5">
        <v>203</v>
      </c>
      <c r="D80" s="6"/>
      <c r="E80" s="6"/>
      <c r="F80" s="6"/>
      <c r="G80" s="5"/>
    </row>
    <row r="81" spans="1:7">
      <c r="A81" s="4" t="s">
        <v>564</v>
      </c>
      <c r="B81" s="5" t="s">
        <v>668</v>
      </c>
      <c r="C81" s="5">
        <v>205</v>
      </c>
      <c r="D81" s="6"/>
      <c r="E81" s="6"/>
      <c r="F81" s="6"/>
      <c r="G81" s="5"/>
    </row>
    <row r="82" spans="1:7">
      <c r="A82" s="4" t="s">
        <v>565</v>
      </c>
      <c r="B82" s="6" t="s">
        <v>669</v>
      </c>
      <c r="C82" s="5">
        <v>207</v>
      </c>
      <c r="D82" s="6"/>
      <c r="E82" s="6"/>
      <c r="F82" s="6"/>
      <c r="G82" s="5"/>
    </row>
    <row r="83" spans="1:7">
      <c r="A83" s="4" t="s">
        <v>566</v>
      </c>
      <c r="B83" s="5" t="s">
        <v>670</v>
      </c>
      <c r="C83" s="5">
        <v>208</v>
      </c>
      <c r="D83" s="6"/>
      <c r="E83" s="6"/>
      <c r="F83" s="6"/>
      <c r="G83" s="5"/>
    </row>
    <row r="84" spans="1:7">
      <c r="A84" s="4" t="s">
        <v>567</v>
      </c>
      <c r="B84" s="5" t="s">
        <v>671</v>
      </c>
      <c r="C84" s="5">
        <v>211</v>
      </c>
      <c r="D84" s="6"/>
      <c r="E84" s="6"/>
      <c r="F84" s="6"/>
      <c r="G84" s="5"/>
    </row>
    <row r="85" spans="1:7">
      <c r="A85" s="4" t="s">
        <v>568</v>
      </c>
      <c r="B85" s="5" t="s">
        <v>672</v>
      </c>
      <c r="C85" s="5">
        <v>212</v>
      </c>
      <c r="D85" s="6"/>
      <c r="E85" s="6"/>
      <c r="F85" s="6"/>
      <c r="G85" s="5"/>
    </row>
    <row r="86" spans="1:7">
      <c r="A86" s="4" t="s">
        <v>569</v>
      </c>
      <c r="B86" s="5" t="s">
        <v>673</v>
      </c>
      <c r="C86" s="5">
        <v>214</v>
      </c>
      <c r="D86" s="6"/>
      <c r="E86" s="6"/>
      <c r="F86" s="6"/>
      <c r="G86" s="5"/>
    </row>
    <row r="87" spans="1:7">
      <c r="A87" s="4">
        <v>13</v>
      </c>
      <c r="B87" s="5" t="s">
        <v>674</v>
      </c>
      <c r="C87" s="5">
        <v>217</v>
      </c>
      <c r="D87" s="6"/>
      <c r="E87" s="6"/>
      <c r="F87" s="6"/>
      <c r="G87" s="5"/>
    </row>
    <row r="88" spans="1:7">
      <c r="A88" s="4" t="s">
        <v>570</v>
      </c>
      <c r="B88" s="5" t="s">
        <v>675</v>
      </c>
      <c r="C88" s="5">
        <v>219</v>
      </c>
      <c r="D88" s="6"/>
      <c r="E88" s="6"/>
      <c r="F88" s="6"/>
      <c r="G88" s="5"/>
    </row>
    <row r="89" spans="1:7">
      <c r="A89" s="4" t="s">
        <v>571</v>
      </c>
      <c r="B89" s="5" t="s">
        <v>676</v>
      </c>
      <c r="C89" s="5">
        <v>220</v>
      </c>
      <c r="D89" s="6"/>
      <c r="E89" s="6"/>
      <c r="F89" s="6"/>
      <c r="G89" s="5"/>
    </row>
    <row r="90" spans="1:7">
      <c r="A90" s="4" t="s">
        <v>572</v>
      </c>
      <c r="B90" s="5" t="s">
        <v>677</v>
      </c>
      <c r="C90" s="5">
        <v>223</v>
      </c>
      <c r="D90" s="6"/>
      <c r="E90" s="6"/>
      <c r="F90" s="6"/>
      <c r="G90" s="5"/>
    </row>
    <row r="91" spans="1:7">
      <c r="A91" s="4">
        <v>14</v>
      </c>
      <c r="B91" s="5" t="s">
        <v>678</v>
      </c>
      <c r="C91" s="5">
        <v>225</v>
      </c>
      <c r="D91" s="6"/>
      <c r="E91" s="6"/>
      <c r="F91" s="6"/>
      <c r="G91" s="5"/>
    </row>
    <row r="92" spans="1:7">
      <c r="A92" s="4" t="s">
        <v>573</v>
      </c>
      <c r="B92" s="5" t="s">
        <v>679</v>
      </c>
      <c r="C92" s="5">
        <v>227</v>
      </c>
      <c r="D92" s="6"/>
      <c r="E92" s="6"/>
      <c r="F92" s="6"/>
      <c r="G92" s="5"/>
    </row>
    <row r="93" spans="1:7">
      <c r="A93" s="4" t="s">
        <v>574</v>
      </c>
      <c r="B93" s="5" t="s">
        <v>680</v>
      </c>
      <c r="C93" s="5">
        <v>229</v>
      </c>
      <c r="D93" s="6"/>
      <c r="E93" s="6"/>
      <c r="F93" s="6"/>
      <c r="G93" s="5"/>
    </row>
    <row r="94" spans="1:7">
      <c r="A94" s="4" t="s">
        <v>575</v>
      </c>
      <c r="B94" s="5" t="s">
        <v>681</v>
      </c>
      <c r="C94" s="5">
        <v>234</v>
      </c>
      <c r="D94" s="6"/>
      <c r="E94" s="6"/>
      <c r="F94" s="6"/>
      <c r="G94" s="5"/>
    </row>
    <row r="95" spans="1:7">
      <c r="A95" s="4" t="s">
        <v>576</v>
      </c>
      <c r="B95" s="5" t="s">
        <v>682</v>
      </c>
      <c r="C95" s="5">
        <v>235</v>
      </c>
      <c r="D95" s="6"/>
      <c r="E95" s="6"/>
      <c r="F95" s="6"/>
      <c r="G95" s="5"/>
    </row>
    <row r="96" spans="1:7">
      <c r="A96" s="4" t="s">
        <v>577</v>
      </c>
      <c r="B96" s="5" t="s">
        <v>683</v>
      </c>
      <c r="C96" s="5">
        <v>238</v>
      </c>
      <c r="D96" s="6"/>
      <c r="E96" s="6"/>
      <c r="F96" s="6"/>
      <c r="G96" s="5"/>
    </row>
    <row r="97" spans="1:7">
      <c r="A97" s="4">
        <v>15</v>
      </c>
      <c r="B97" s="11" t="s">
        <v>727</v>
      </c>
      <c r="C97" s="5">
        <v>241</v>
      </c>
      <c r="D97" s="6"/>
      <c r="E97" s="6"/>
      <c r="F97" s="6"/>
      <c r="G97" s="5"/>
    </row>
    <row r="98" spans="1:7">
      <c r="A98" s="4" t="s">
        <v>578</v>
      </c>
      <c r="B98" s="11" t="s">
        <v>601</v>
      </c>
      <c r="C98" s="5">
        <v>243</v>
      </c>
      <c r="D98" s="6"/>
      <c r="E98" s="6"/>
      <c r="F98" s="6"/>
      <c r="G98" s="5"/>
    </row>
    <row r="99" spans="1:7">
      <c r="A99" s="4" t="s">
        <v>579</v>
      </c>
      <c r="B99" s="5" t="s">
        <v>685</v>
      </c>
      <c r="C99" s="5">
        <v>244</v>
      </c>
      <c r="D99" s="6"/>
      <c r="E99" s="6"/>
      <c r="F99" s="6"/>
      <c r="G99" s="5"/>
    </row>
    <row r="100" spans="1:7">
      <c r="A100" s="4" t="s">
        <v>580</v>
      </c>
      <c r="B100" s="5" t="s">
        <v>686</v>
      </c>
      <c r="C100" s="5">
        <v>247</v>
      </c>
      <c r="D100" s="6"/>
      <c r="E100" s="6"/>
      <c r="F100" s="6"/>
      <c r="G100" s="5"/>
    </row>
    <row r="101" spans="1:7">
      <c r="A101" s="4" t="s">
        <v>581</v>
      </c>
      <c r="B101" s="5" t="s">
        <v>687</v>
      </c>
      <c r="C101" s="5">
        <v>250</v>
      </c>
      <c r="D101" s="6"/>
      <c r="E101" s="6"/>
      <c r="F101" s="6"/>
      <c r="G101" s="5"/>
    </row>
    <row r="102" spans="1:7">
      <c r="A102" s="4" t="s">
        <v>582</v>
      </c>
      <c r="B102" s="5" t="s">
        <v>688</v>
      </c>
      <c r="C102" s="5">
        <v>252</v>
      </c>
      <c r="D102" s="6"/>
      <c r="E102" s="6"/>
      <c r="F102" s="6"/>
      <c r="G102" s="5"/>
    </row>
    <row r="103" spans="1:7">
      <c r="A103" s="4">
        <v>16</v>
      </c>
      <c r="B103" s="5" t="s">
        <v>689</v>
      </c>
      <c r="C103" s="5">
        <v>255</v>
      </c>
      <c r="D103" s="6"/>
      <c r="E103" s="6"/>
      <c r="F103" s="6"/>
      <c r="G103" s="5"/>
    </row>
    <row r="104" spans="1:7">
      <c r="A104" s="4" t="s">
        <v>583</v>
      </c>
      <c r="B104" s="5" t="s">
        <v>601</v>
      </c>
      <c r="C104" s="5">
        <v>257</v>
      </c>
      <c r="D104" s="6"/>
      <c r="E104" s="6"/>
      <c r="F104" s="6"/>
      <c r="G104" s="5"/>
    </row>
    <row r="105" spans="1:7">
      <c r="A105" s="4" t="s">
        <v>584</v>
      </c>
      <c r="B105" s="5" t="s">
        <v>690</v>
      </c>
      <c r="C105" s="5">
        <v>258</v>
      </c>
      <c r="D105" s="6"/>
      <c r="E105" s="6"/>
      <c r="F105" s="6"/>
      <c r="G105" s="5"/>
    </row>
    <row r="106" spans="1:7">
      <c r="A106" s="4" t="s">
        <v>585</v>
      </c>
      <c r="B106" s="5" t="s">
        <v>691</v>
      </c>
      <c r="C106" s="5">
        <v>263</v>
      </c>
      <c r="D106" s="6"/>
      <c r="E106" s="6"/>
      <c r="F106" s="6"/>
      <c r="G106" s="5"/>
    </row>
    <row r="107" spans="1:7">
      <c r="A107" s="4" t="s">
        <v>586</v>
      </c>
      <c r="B107" s="5" t="s">
        <v>692</v>
      </c>
      <c r="C107" s="5">
        <v>264</v>
      </c>
      <c r="D107" s="6"/>
      <c r="E107" s="6"/>
      <c r="F107" s="6"/>
      <c r="G107" s="5"/>
    </row>
    <row r="108" spans="1:7">
      <c r="A108" s="4" t="s">
        <v>587</v>
      </c>
      <c r="B108" s="5" t="s">
        <v>693</v>
      </c>
      <c r="C108" s="5">
        <v>268</v>
      </c>
      <c r="D108" s="6"/>
      <c r="E108" s="6"/>
      <c r="F108" s="6"/>
      <c r="G108" s="5"/>
    </row>
    <row r="109" spans="1:7">
      <c r="A109" s="4" t="s">
        <v>588</v>
      </c>
      <c r="B109" s="5" t="s">
        <v>694</v>
      </c>
      <c r="C109" s="5">
        <v>270</v>
      </c>
      <c r="D109" s="6"/>
      <c r="E109" s="6"/>
      <c r="F109" s="6"/>
      <c r="G109" s="5"/>
    </row>
    <row r="110" spans="1:7">
      <c r="A110" s="4" t="s">
        <v>589</v>
      </c>
      <c r="B110" s="5" t="s">
        <v>695</v>
      </c>
      <c r="C110" s="5">
        <v>271</v>
      </c>
      <c r="D110" s="6"/>
      <c r="E110" s="6"/>
      <c r="F110" s="6"/>
      <c r="G110" s="5"/>
    </row>
    <row r="111" spans="1:7">
      <c r="A111" s="4">
        <v>17</v>
      </c>
      <c r="B111" s="5" t="s">
        <v>696</v>
      </c>
      <c r="C111" s="5">
        <v>279</v>
      </c>
      <c r="D111" s="6"/>
      <c r="E111" s="6"/>
      <c r="F111" s="6"/>
      <c r="G111" s="5"/>
    </row>
    <row r="112" spans="1:7">
      <c r="A112" s="4" t="s">
        <v>265</v>
      </c>
      <c r="B112" s="5" t="s">
        <v>601</v>
      </c>
      <c r="C112" s="5">
        <v>281</v>
      </c>
      <c r="D112" s="6"/>
      <c r="E112" s="6"/>
      <c r="F112" s="6"/>
      <c r="G112" s="5"/>
    </row>
    <row r="113" spans="1:7">
      <c r="A113" s="4" t="s">
        <v>590</v>
      </c>
      <c r="B113" s="5" t="s">
        <v>697</v>
      </c>
      <c r="C113" s="5">
        <v>283</v>
      </c>
      <c r="D113" s="6"/>
      <c r="E113" s="6"/>
      <c r="F113" s="6"/>
      <c r="G113" s="5"/>
    </row>
    <row r="114" spans="1:7">
      <c r="A114" s="4" t="s">
        <v>591</v>
      </c>
      <c r="B114" s="5" t="s">
        <v>698</v>
      </c>
      <c r="C114" s="5">
        <v>286</v>
      </c>
      <c r="D114" s="6"/>
      <c r="E114" s="6"/>
      <c r="F114" s="6"/>
      <c r="G114" s="5"/>
    </row>
    <row r="115" spans="1:7">
      <c r="A115" s="4" t="s">
        <v>592</v>
      </c>
      <c r="B115" s="5" t="s">
        <v>699</v>
      </c>
      <c r="C115" s="5">
        <v>289</v>
      </c>
      <c r="D115" s="6"/>
      <c r="E115" s="6"/>
      <c r="F115" s="6"/>
      <c r="G115" s="5"/>
    </row>
    <row r="116" spans="1:7">
      <c r="A116" s="4" t="s">
        <v>593</v>
      </c>
      <c r="B116" s="5" t="s">
        <v>700</v>
      </c>
      <c r="C116" s="5">
        <v>290</v>
      </c>
      <c r="D116" s="6"/>
      <c r="E116" s="6"/>
      <c r="F116" s="6"/>
      <c r="G116" s="5"/>
    </row>
    <row r="117" spans="1:7">
      <c r="A117" s="4" t="s">
        <v>594</v>
      </c>
      <c r="B117" s="5" t="s">
        <v>701</v>
      </c>
      <c r="C117" s="5">
        <v>293</v>
      </c>
      <c r="D117" s="6"/>
      <c r="E117" s="6"/>
      <c r="F117" s="6"/>
      <c r="G117" s="5"/>
    </row>
    <row r="118" spans="1:7">
      <c r="A118" s="4" t="s">
        <v>595</v>
      </c>
      <c r="B118" s="5" t="s">
        <v>702</v>
      </c>
      <c r="C118" s="5">
        <v>300</v>
      </c>
      <c r="D118" s="6"/>
      <c r="E118" s="6"/>
      <c r="F118" s="6"/>
      <c r="G118" s="5"/>
    </row>
    <row r="119" spans="1:7">
      <c r="A119" s="4" t="s">
        <v>596</v>
      </c>
      <c r="B119" s="5" t="s">
        <v>703</v>
      </c>
      <c r="C119" s="5">
        <v>301</v>
      </c>
      <c r="D119" s="6"/>
      <c r="E119" s="6"/>
      <c r="F119" s="6"/>
      <c r="G119" s="5"/>
    </row>
    <row r="120" spans="1:7">
      <c r="A120" s="4" t="s">
        <v>597</v>
      </c>
      <c r="B120" s="5" t="s">
        <v>704</v>
      </c>
      <c r="C120" s="5">
        <v>303</v>
      </c>
      <c r="D120" s="6"/>
      <c r="E120" s="6"/>
      <c r="F120" s="6"/>
      <c r="G120" s="5"/>
    </row>
    <row r="121" spans="1:7">
      <c r="A121" s="7" t="s">
        <v>266</v>
      </c>
      <c r="B121" s="5" t="s">
        <v>705</v>
      </c>
      <c r="C121" s="5">
        <v>305</v>
      </c>
      <c r="D121" s="6"/>
      <c r="E121" s="6"/>
      <c r="F121" s="6"/>
      <c r="G121" s="5"/>
    </row>
    <row r="122" spans="1:7">
      <c r="A122" s="4">
        <v>17.11</v>
      </c>
      <c r="B122" s="5" t="s">
        <v>615</v>
      </c>
      <c r="C122" s="5">
        <v>308</v>
      </c>
      <c r="D122" s="6"/>
      <c r="E122" s="6"/>
      <c r="F122" s="6"/>
      <c r="G122" s="5"/>
    </row>
  </sheetData>
  <pageMargins left="0.69930555555555596" right="0.69930555555555596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9"/>
  <sheetViews>
    <sheetView zoomScaleNormal="100" workbookViewId="0">
      <selection activeCell="B13" sqref="B13"/>
    </sheetView>
  </sheetViews>
  <sheetFormatPr defaultColWidth="8.7265625" defaultRowHeight="14.5"/>
  <cols>
    <col min="1" max="1" width="5.81640625" customWidth="1"/>
    <col min="2" max="2" width="120.6328125" customWidth="1"/>
    <col min="3" max="3" width="3.81640625" bestFit="1" customWidth="1"/>
  </cols>
  <sheetData>
    <row r="1" spans="1:7">
      <c r="A1" s="5">
        <v>0</v>
      </c>
      <c r="B1" s="6" t="s">
        <v>326</v>
      </c>
      <c r="C1" s="8">
        <v>1</v>
      </c>
      <c r="D1" s="5" t="s">
        <v>178</v>
      </c>
      <c r="E1" s="5"/>
      <c r="F1" s="5"/>
      <c r="G1" s="5" t="s">
        <v>177</v>
      </c>
    </row>
    <row r="2" spans="1:7">
      <c r="A2" s="5" t="s">
        <v>267</v>
      </c>
      <c r="B2" s="6" t="s">
        <v>327</v>
      </c>
      <c r="C2" s="8">
        <v>15</v>
      </c>
      <c r="D2" s="5"/>
      <c r="E2" s="5"/>
      <c r="F2" s="5"/>
      <c r="G2" s="5" t="s">
        <v>182</v>
      </c>
    </row>
    <row r="3" spans="1:7">
      <c r="A3" s="5">
        <v>1</v>
      </c>
      <c r="B3" s="5" t="s">
        <v>319</v>
      </c>
      <c r="C3" s="8">
        <v>19</v>
      </c>
      <c r="D3" s="5" t="s">
        <v>179</v>
      </c>
      <c r="E3" s="5"/>
      <c r="F3" s="5"/>
      <c r="G3" s="5"/>
    </row>
    <row r="4" spans="1:7">
      <c r="A4" s="5">
        <v>2</v>
      </c>
      <c r="B4" s="5" t="s">
        <v>320</v>
      </c>
      <c r="C4" s="8">
        <v>35</v>
      </c>
      <c r="D4" s="5" t="s">
        <v>180</v>
      </c>
      <c r="E4" s="5"/>
      <c r="F4" s="5"/>
      <c r="G4" s="5"/>
    </row>
    <row r="5" spans="1:7">
      <c r="A5" s="5">
        <v>3</v>
      </c>
      <c r="B5" s="6" t="s">
        <v>332</v>
      </c>
      <c r="C5" s="8">
        <v>53</v>
      </c>
      <c r="D5" s="5" t="s">
        <v>181</v>
      </c>
      <c r="E5" s="5"/>
      <c r="F5" s="5"/>
      <c r="G5" s="5"/>
    </row>
    <row r="6" spans="1:7">
      <c r="A6" s="5">
        <v>4</v>
      </c>
      <c r="B6" s="5" t="s">
        <v>321</v>
      </c>
      <c r="C6" s="8">
        <v>65</v>
      </c>
      <c r="D6" s="5" t="s">
        <v>146</v>
      </c>
      <c r="E6" s="5"/>
      <c r="F6" s="5"/>
      <c r="G6" s="5"/>
    </row>
    <row r="7" spans="1:7">
      <c r="A7" s="5">
        <v>5</v>
      </c>
      <c r="B7" s="5" t="s">
        <v>322</v>
      </c>
      <c r="C7" s="8">
        <v>83</v>
      </c>
      <c r="D7" s="5" t="s">
        <v>182</v>
      </c>
      <c r="E7" s="5"/>
      <c r="F7" s="5"/>
      <c r="G7" s="5"/>
    </row>
    <row r="8" spans="1:7">
      <c r="A8" s="6" t="s">
        <v>268</v>
      </c>
      <c r="B8" s="6" t="s">
        <v>328</v>
      </c>
      <c r="C8" s="8">
        <v>101</v>
      </c>
      <c r="D8" s="5"/>
      <c r="E8" s="5"/>
      <c r="F8" s="5"/>
      <c r="G8" s="5"/>
    </row>
    <row r="9" spans="1:7">
      <c r="A9" s="5">
        <v>6</v>
      </c>
      <c r="B9" s="6" t="s">
        <v>333</v>
      </c>
      <c r="C9" s="8">
        <v>105</v>
      </c>
      <c r="D9" s="5" t="s">
        <v>183</v>
      </c>
      <c r="E9" s="5"/>
      <c r="F9" s="5"/>
      <c r="G9" s="5"/>
    </row>
    <row r="10" spans="1:7">
      <c r="A10" s="5">
        <v>7</v>
      </c>
      <c r="B10" s="6" t="s">
        <v>334</v>
      </c>
      <c r="C10" s="8">
        <v>127</v>
      </c>
      <c r="D10" s="5" t="s">
        <v>184</v>
      </c>
      <c r="E10" s="5"/>
      <c r="F10" s="5"/>
      <c r="G10" s="5"/>
    </row>
    <row r="11" spans="1:7">
      <c r="A11" s="5">
        <v>8</v>
      </c>
      <c r="B11" s="6" t="s">
        <v>329</v>
      </c>
      <c r="C11" s="8">
        <v>141</v>
      </c>
      <c r="D11" s="5" t="s">
        <v>185</v>
      </c>
      <c r="E11" s="5"/>
      <c r="F11" s="5"/>
      <c r="G11" s="5"/>
    </row>
    <row r="12" spans="1:7">
      <c r="A12" s="6" t="s">
        <v>269</v>
      </c>
      <c r="B12" s="6" t="s">
        <v>330</v>
      </c>
      <c r="C12" s="8">
        <v>163</v>
      </c>
      <c r="D12" s="5"/>
      <c r="E12" s="5"/>
      <c r="F12" s="5"/>
      <c r="G12" s="5"/>
    </row>
    <row r="13" spans="1:7">
      <c r="A13" s="5">
        <v>9</v>
      </c>
      <c r="B13" s="5" t="s">
        <v>323</v>
      </c>
      <c r="C13" s="8">
        <v>169</v>
      </c>
      <c r="D13" s="5" t="s">
        <v>131</v>
      </c>
      <c r="E13" s="5"/>
      <c r="F13" s="5"/>
      <c r="G13" s="5"/>
    </row>
    <row r="14" spans="1:7">
      <c r="A14" s="5">
        <v>10</v>
      </c>
      <c r="B14" s="6" t="s">
        <v>331</v>
      </c>
      <c r="C14" s="8">
        <v>199</v>
      </c>
      <c r="D14" s="5" t="s">
        <v>186</v>
      </c>
      <c r="E14" s="5"/>
      <c r="F14" s="5"/>
      <c r="G14" s="5"/>
    </row>
    <row r="15" spans="1:7">
      <c r="A15" s="5">
        <v>11</v>
      </c>
      <c r="B15" s="5" t="s">
        <v>324</v>
      </c>
      <c r="C15" s="8">
        <v>227</v>
      </c>
      <c r="D15" s="5" t="s">
        <v>187</v>
      </c>
      <c r="E15" s="5"/>
      <c r="F15" s="5"/>
      <c r="G15" s="5"/>
    </row>
    <row r="16" spans="1:7">
      <c r="A16" s="5">
        <v>12</v>
      </c>
      <c r="B16" s="6" t="s">
        <v>335</v>
      </c>
      <c r="C16" s="8">
        <v>251</v>
      </c>
      <c r="D16" s="5" t="s">
        <v>188</v>
      </c>
      <c r="E16" s="5"/>
      <c r="F16" s="5"/>
      <c r="G16" s="5"/>
    </row>
    <row r="17" spans="1:7">
      <c r="A17" s="5">
        <v>13</v>
      </c>
      <c r="B17" s="6" t="s">
        <v>336</v>
      </c>
      <c r="C17" s="8">
        <v>271</v>
      </c>
      <c r="D17" s="5" t="s">
        <v>189</v>
      </c>
      <c r="E17" s="5"/>
      <c r="F17" s="5"/>
      <c r="G17" s="5"/>
    </row>
    <row r="18" spans="1:7">
      <c r="A18" s="6" t="s">
        <v>270</v>
      </c>
      <c r="B18" s="5" t="s">
        <v>325</v>
      </c>
      <c r="C18" s="8">
        <v>299</v>
      </c>
      <c r="D18" s="5"/>
      <c r="E18" s="5"/>
      <c r="F18" s="5"/>
      <c r="G18" s="5"/>
    </row>
    <row r="19" spans="1:7">
      <c r="A19" s="5">
        <v>14</v>
      </c>
      <c r="B19" s="5" t="s">
        <v>325</v>
      </c>
      <c r="C19" s="8">
        <v>301</v>
      </c>
      <c r="D19" s="5" t="s">
        <v>190</v>
      </c>
      <c r="E19" s="5"/>
      <c r="F19" s="5"/>
      <c r="G19" s="5"/>
    </row>
  </sheetData>
  <pageMargins left="0.69930555555555596" right="0.69930555555555596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4"/>
  <sheetViews>
    <sheetView zoomScaleNormal="100" workbookViewId="0">
      <selection activeCell="B16" sqref="B16"/>
    </sheetView>
  </sheetViews>
  <sheetFormatPr defaultColWidth="8.7265625" defaultRowHeight="14.5"/>
  <cols>
    <col min="1" max="1" width="5.81640625" customWidth="1"/>
    <col min="2" max="2" width="120.6328125" customWidth="1"/>
    <col min="3" max="3" width="3.81640625" customWidth="1"/>
  </cols>
  <sheetData>
    <row r="1" spans="1:7">
      <c r="A1" s="5" t="s">
        <v>273</v>
      </c>
      <c r="B1" s="5" t="s">
        <v>296</v>
      </c>
      <c r="C1" s="5"/>
      <c r="D1" s="5" t="s">
        <v>127</v>
      </c>
      <c r="E1" s="5"/>
      <c r="F1" s="5"/>
      <c r="G1" s="5" t="s">
        <v>125</v>
      </c>
    </row>
    <row r="2" spans="1:7">
      <c r="A2" s="6" t="s">
        <v>291</v>
      </c>
      <c r="B2" s="5" t="s">
        <v>297</v>
      </c>
      <c r="C2" s="5"/>
      <c r="D2" s="5"/>
      <c r="E2" s="5"/>
      <c r="F2" s="5"/>
      <c r="G2" s="5" t="s">
        <v>126</v>
      </c>
    </row>
    <row r="3" spans="1:7">
      <c r="A3" s="5" t="s">
        <v>274</v>
      </c>
      <c r="B3" s="5" t="s">
        <v>298</v>
      </c>
      <c r="C3" s="5"/>
      <c r="D3" s="5" t="s">
        <v>130</v>
      </c>
      <c r="E3" s="5"/>
      <c r="F3" s="5"/>
      <c r="G3" s="5" t="s">
        <v>129</v>
      </c>
    </row>
    <row r="4" spans="1:7">
      <c r="A4" s="5" t="s">
        <v>275</v>
      </c>
      <c r="B4" s="5" t="s">
        <v>299</v>
      </c>
      <c r="C4" s="5"/>
      <c r="D4" s="5" t="s">
        <v>131</v>
      </c>
      <c r="E4" s="5"/>
      <c r="F4" s="5"/>
      <c r="G4" s="5"/>
    </row>
    <row r="5" spans="1:7">
      <c r="A5" s="5" t="s">
        <v>276</v>
      </c>
      <c r="B5" s="6" t="s">
        <v>311</v>
      </c>
      <c r="C5" s="5"/>
      <c r="D5" s="5" t="s">
        <v>132</v>
      </c>
      <c r="E5" s="5"/>
      <c r="F5" s="5"/>
      <c r="G5" s="5"/>
    </row>
    <row r="6" spans="1:7">
      <c r="A6" s="6" t="s">
        <v>292</v>
      </c>
      <c r="B6" s="5" t="s">
        <v>300</v>
      </c>
      <c r="C6" s="5"/>
      <c r="D6" s="5"/>
      <c r="E6" s="5"/>
      <c r="F6" s="5"/>
      <c r="G6" s="5"/>
    </row>
    <row r="7" spans="1:7">
      <c r="A7" s="5" t="s">
        <v>277</v>
      </c>
      <c r="B7" s="6" t="s">
        <v>312</v>
      </c>
      <c r="C7" s="5"/>
      <c r="D7" s="5" t="s">
        <v>133</v>
      </c>
      <c r="E7" s="5"/>
      <c r="F7" s="5"/>
      <c r="G7" s="5"/>
    </row>
    <row r="8" spans="1:7">
      <c r="A8" s="5" t="s">
        <v>278</v>
      </c>
      <c r="B8" s="6" t="s">
        <v>313</v>
      </c>
      <c r="C8" s="5"/>
      <c r="D8" s="5" t="s">
        <v>134</v>
      </c>
      <c r="E8" s="5"/>
      <c r="F8" s="5"/>
      <c r="G8" s="5"/>
    </row>
    <row r="9" spans="1:7">
      <c r="A9" s="5" t="s">
        <v>279</v>
      </c>
      <c r="B9" s="5" t="s">
        <v>301</v>
      </c>
      <c r="C9" s="5"/>
      <c r="D9" s="5" t="s">
        <v>135</v>
      </c>
      <c r="E9" s="5"/>
      <c r="F9" s="5"/>
      <c r="G9" s="5"/>
    </row>
    <row r="10" spans="1:7">
      <c r="A10" s="5" t="s">
        <v>280</v>
      </c>
      <c r="B10" s="5" t="s">
        <v>302</v>
      </c>
      <c r="C10" s="5"/>
      <c r="D10" s="5" t="s">
        <v>136</v>
      </c>
      <c r="E10" s="5"/>
      <c r="F10" s="5"/>
      <c r="G10" s="5"/>
    </row>
    <row r="11" spans="1:7">
      <c r="A11" s="6" t="s">
        <v>293</v>
      </c>
      <c r="B11" s="5" t="s">
        <v>303</v>
      </c>
      <c r="C11" s="5"/>
      <c r="D11" s="5"/>
      <c r="E11" s="5"/>
      <c r="F11" s="5"/>
      <c r="G11" s="5"/>
    </row>
    <row r="12" spans="1:7">
      <c r="A12" s="5" t="s">
        <v>281</v>
      </c>
      <c r="B12" s="5" t="s">
        <v>304</v>
      </c>
      <c r="C12" s="5"/>
      <c r="D12" s="5" t="s">
        <v>137</v>
      </c>
      <c r="E12" s="5"/>
      <c r="F12" s="5"/>
      <c r="G12" s="5"/>
    </row>
    <row r="13" spans="1:7">
      <c r="A13" s="5" t="s">
        <v>282</v>
      </c>
      <c r="B13" s="6" t="s">
        <v>314</v>
      </c>
      <c r="C13" s="5"/>
      <c r="D13" s="5" t="s">
        <v>138</v>
      </c>
      <c r="E13" s="5"/>
      <c r="F13" s="5"/>
      <c r="G13" s="5"/>
    </row>
    <row r="14" spans="1:7">
      <c r="A14" s="5" t="s">
        <v>283</v>
      </c>
      <c r="B14" s="6" t="s">
        <v>315</v>
      </c>
      <c r="C14" s="5"/>
      <c r="D14" s="5" t="s">
        <v>139</v>
      </c>
      <c r="E14" s="5"/>
      <c r="F14" s="5"/>
      <c r="G14" s="5"/>
    </row>
    <row r="15" spans="1:7">
      <c r="A15" s="5" t="s">
        <v>284</v>
      </c>
      <c r="B15" s="6" t="s">
        <v>316</v>
      </c>
      <c r="C15" s="5"/>
      <c r="D15" s="5" t="s">
        <v>140</v>
      </c>
      <c r="E15" s="5"/>
      <c r="F15" s="5"/>
      <c r="G15" s="5"/>
    </row>
    <row r="16" spans="1:7">
      <c r="A16" s="6" t="s">
        <v>294</v>
      </c>
      <c r="B16" s="5" t="s">
        <v>305</v>
      </c>
      <c r="C16" s="5"/>
      <c r="D16" s="5"/>
      <c r="E16" s="5"/>
      <c r="F16" s="5"/>
      <c r="G16" s="5"/>
    </row>
    <row r="17" spans="1:7">
      <c r="A17" s="5" t="s">
        <v>285</v>
      </c>
      <c r="B17" s="6" t="s">
        <v>317</v>
      </c>
      <c r="C17" s="5"/>
      <c r="D17" s="5" t="s">
        <v>272</v>
      </c>
      <c r="E17" s="5"/>
      <c r="F17" s="5"/>
      <c r="G17" s="5"/>
    </row>
    <row r="18" spans="1:7">
      <c r="A18" s="5" t="s">
        <v>286</v>
      </c>
      <c r="B18" s="5" t="s">
        <v>306</v>
      </c>
      <c r="C18" s="5"/>
      <c r="D18" s="5" t="s">
        <v>141</v>
      </c>
      <c r="E18" s="5"/>
      <c r="F18" s="5"/>
      <c r="G18" s="5"/>
    </row>
    <row r="19" spans="1:7">
      <c r="A19" s="5" t="s">
        <v>287</v>
      </c>
      <c r="B19" s="6" t="s">
        <v>318</v>
      </c>
      <c r="C19" s="5"/>
      <c r="D19" s="5" t="s">
        <v>142</v>
      </c>
      <c r="E19" s="5"/>
      <c r="F19" s="5"/>
      <c r="G19" s="5"/>
    </row>
    <row r="20" spans="1:7">
      <c r="A20" s="5" t="s">
        <v>288</v>
      </c>
      <c r="B20" s="5" t="s">
        <v>307</v>
      </c>
      <c r="C20" s="5"/>
      <c r="D20" s="5" t="s">
        <v>143</v>
      </c>
      <c r="E20" s="5"/>
      <c r="F20" s="5"/>
      <c r="G20" s="5"/>
    </row>
    <row r="21" spans="1:7">
      <c r="A21" s="5" t="s">
        <v>289</v>
      </c>
      <c r="B21" s="5" t="s">
        <v>308</v>
      </c>
      <c r="C21" s="5"/>
      <c r="D21" s="5" t="s">
        <v>144</v>
      </c>
      <c r="E21" s="5"/>
      <c r="F21" s="5"/>
      <c r="G21" s="5"/>
    </row>
    <row r="22" spans="1:7">
      <c r="A22" s="6" t="s">
        <v>295</v>
      </c>
      <c r="B22" s="5" t="s">
        <v>309</v>
      </c>
      <c r="C22" s="5"/>
      <c r="D22" s="5"/>
      <c r="E22" s="5"/>
      <c r="F22" s="5"/>
      <c r="G22" s="5"/>
    </row>
    <row r="23" spans="1:7">
      <c r="A23" s="5" t="s">
        <v>290</v>
      </c>
      <c r="B23" s="5" t="s">
        <v>310</v>
      </c>
      <c r="C23" s="5"/>
      <c r="D23" s="5" t="s">
        <v>145</v>
      </c>
      <c r="E23" s="5"/>
      <c r="F23" s="5"/>
      <c r="G23" s="5"/>
    </row>
    <row r="24" spans="1:7">
      <c r="G24" s="9"/>
    </row>
  </sheetData>
  <pageMargins left="0.69930555555555596" right="0.69930555555555596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4"/>
  <sheetViews>
    <sheetView zoomScaleNormal="100" workbookViewId="0">
      <selection activeCell="B5" sqref="B5"/>
    </sheetView>
  </sheetViews>
  <sheetFormatPr defaultColWidth="8.7265625" defaultRowHeight="14.5"/>
  <cols>
    <col min="1" max="1" width="5.81640625" customWidth="1"/>
    <col min="2" max="2" width="120.6328125" customWidth="1"/>
    <col min="3" max="3" width="3.81640625" bestFit="1" customWidth="1"/>
  </cols>
  <sheetData>
    <row r="1" spans="1:7">
      <c r="A1" s="5" t="s">
        <v>267</v>
      </c>
      <c r="B1" s="5" t="s">
        <v>337</v>
      </c>
      <c r="C1" s="5">
        <v>15</v>
      </c>
      <c r="D1" s="5"/>
      <c r="E1" s="5"/>
      <c r="F1" s="5"/>
      <c r="G1" s="5" t="s">
        <v>241</v>
      </c>
    </row>
    <row r="2" spans="1:7">
      <c r="A2" s="5">
        <v>1</v>
      </c>
      <c r="B2" s="5" t="s">
        <v>338</v>
      </c>
      <c r="C2" s="5">
        <v>17</v>
      </c>
      <c r="D2" s="5" t="s">
        <v>146</v>
      </c>
      <c r="E2" s="5"/>
      <c r="F2" s="5"/>
      <c r="G2" s="5" t="s">
        <v>242</v>
      </c>
    </row>
    <row r="3" spans="1:7">
      <c r="A3" s="5">
        <v>2</v>
      </c>
      <c r="B3" s="5" t="s">
        <v>339</v>
      </c>
      <c r="C3" s="5">
        <v>37</v>
      </c>
      <c r="D3" s="5" t="s">
        <v>147</v>
      </c>
      <c r="E3" s="5"/>
      <c r="F3" s="5"/>
      <c r="G3" s="5" t="s">
        <v>152</v>
      </c>
    </row>
    <row r="4" spans="1:7">
      <c r="A4" s="5">
        <v>3</v>
      </c>
      <c r="B4" s="5" t="s">
        <v>340</v>
      </c>
      <c r="C4" s="5">
        <v>55</v>
      </c>
      <c r="D4" s="5" t="s">
        <v>148</v>
      </c>
      <c r="E4" s="5"/>
      <c r="F4" s="5"/>
      <c r="G4" s="5"/>
    </row>
    <row r="5" spans="1:7">
      <c r="A5" s="5">
        <v>4</v>
      </c>
      <c r="B5" s="5" t="s">
        <v>341</v>
      </c>
      <c r="C5" s="5">
        <v>77</v>
      </c>
      <c r="D5" s="5" t="s">
        <v>149</v>
      </c>
      <c r="E5" s="5"/>
      <c r="F5" s="5"/>
      <c r="G5" s="5"/>
    </row>
    <row r="6" spans="1:7">
      <c r="A6" s="6" t="s">
        <v>268</v>
      </c>
      <c r="B6" s="5" t="s">
        <v>342</v>
      </c>
      <c r="C6" s="5">
        <v>97</v>
      </c>
      <c r="D6" s="5"/>
      <c r="E6" s="5"/>
      <c r="F6" s="5"/>
      <c r="G6" s="5"/>
    </row>
    <row r="7" spans="1:7">
      <c r="A7" s="5">
        <v>5</v>
      </c>
      <c r="B7" s="5" t="s">
        <v>343</v>
      </c>
      <c r="C7" s="5">
        <v>99</v>
      </c>
      <c r="D7" s="5" t="s">
        <v>150</v>
      </c>
      <c r="E7" s="5"/>
      <c r="F7" s="5"/>
      <c r="G7" s="5"/>
    </row>
    <row r="8" spans="1:7">
      <c r="A8" s="5">
        <v>6</v>
      </c>
      <c r="B8" s="6" t="s">
        <v>344</v>
      </c>
      <c r="C8" s="5">
        <v>117</v>
      </c>
      <c r="D8" s="5" t="s">
        <v>151</v>
      </c>
      <c r="E8" s="5"/>
      <c r="F8" s="5"/>
      <c r="G8" s="5"/>
    </row>
    <row r="9" spans="1:7">
      <c r="A9" s="5">
        <v>7</v>
      </c>
      <c r="B9" s="6" t="s">
        <v>345</v>
      </c>
      <c r="C9" s="5">
        <v>141</v>
      </c>
      <c r="D9" s="5" t="s">
        <v>152</v>
      </c>
      <c r="E9" s="5"/>
      <c r="F9" s="5"/>
      <c r="G9" s="5"/>
    </row>
    <row r="10" spans="1:7">
      <c r="A10" s="6" t="s">
        <v>269</v>
      </c>
      <c r="B10" s="5" t="s">
        <v>346</v>
      </c>
      <c r="C10" s="5">
        <v>173</v>
      </c>
      <c r="D10" s="5"/>
      <c r="E10" s="5"/>
      <c r="F10" s="5"/>
      <c r="G10" s="5"/>
    </row>
    <row r="11" spans="1:7">
      <c r="A11" s="5">
        <v>8</v>
      </c>
      <c r="B11" s="6" t="s">
        <v>347</v>
      </c>
      <c r="C11" s="5">
        <v>175</v>
      </c>
      <c r="D11" s="5" t="s">
        <v>153</v>
      </c>
      <c r="E11" s="5"/>
      <c r="F11" s="5"/>
      <c r="G11" s="5"/>
    </row>
    <row r="12" spans="1:7">
      <c r="A12" s="5">
        <v>9</v>
      </c>
      <c r="B12" s="5" t="s">
        <v>348</v>
      </c>
      <c r="C12" s="5">
        <v>195</v>
      </c>
      <c r="D12" s="5" t="s">
        <v>154</v>
      </c>
      <c r="E12" s="5"/>
      <c r="F12" s="5"/>
      <c r="G12" s="5"/>
    </row>
    <row r="13" spans="1:7">
      <c r="A13" s="5">
        <v>10</v>
      </c>
      <c r="B13" s="6" t="s">
        <v>349</v>
      </c>
      <c r="C13" s="5">
        <v>219</v>
      </c>
      <c r="D13" s="5" t="s">
        <v>155</v>
      </c>
      <c r="E13" s="5"/>
      <c r="F13" s="5"/>
      <c r="G13" s="5"/>
    </row>
    <row r="14" spans="1:7">
      <c r="A14" s="5">
        <v>11</v>
      </c>
      <c r="B14" s="6" t="s">
        <v>350</v>
      </c>
      <c r="C14" s="5">
        <v>243</v>
      </c>
      <c r="D14" s="5" t="s">
        <v>242</v>
      </c>
      <c r="E14" s="5"/>
      <c r="F14" s="5"/>
      <c r="G14" s="5"/>
    </row>
  </sheetData>
  <pageMargins left="0.69930555555555596" right="0.69930555555555596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9"/>
  <sheetViews>
    <sheetView zoomScaleNormal="100" workbookViewId="0">
      <selection activeCell="B14" sqref="B14"/>
    </sheetView>
  </sheetViews>
  <sheetFormatPr defaultColWidth="8.7265625" defaultRowHeight="14.5"/>
  <cols>
    <col min="1" max="1" width="5.81640625" customWidth="1"/>
    <col min="2" max="2" width="120.6328125" customWidth="1"/>
    <col min="3" max="3" width="3.81640625" bestFit="1" customWidth="1"/>
  </cols>
  <sheetData>
    <row r="1" spans="1:7">
      <c r="A1" s="5" t="s">
        <v>267</v>
      </c>
      <c r="B1" s="6" t="s">
        <v>353</v>
      </c>
      <c r="C1" s="5">
        <v>1</v>
      </c>
      <c r="D1" s="5"/>
      <c r="E1" s="5"/>
      <c r="F1" s="5"/>
      <c r="G1" s="5" t="s">
        <v>243</v>
      </c>
    </row>
    <row r="2" spans="1:7">
      <c r="A2" s="5">
        <v>1</v>
      </c>
      <c r="B2" s="5" t="s">
        <v>354</v>
      </c>
      <c r="C2" s="5">
        <v>3</v>
      </c>
      <c r="D2" s="5" t="s">
        <v>156</v>
      </c>
      <c r="E2" s="5"/>
      <c r="F2" s="5"/>
      <c r="G2" s="5" t="s">
        <v>244</v>
      </c>
    </row>
    <row r="3" spans="1:7">
      <c r="A3" s="5">
        <v>2</v>
      </c>
      <c r="B3" s="6" t="s">
        <v>355</v>
      </c>
      <c r="C3" s="5">
        <v>17</v>
      </c>
      <c r="D3" s="5" t="s">
        <v>157</v>
      </c>
      <c r="E3" s="5"/>
      <c r="F3" s="5"/>
      <c r="G3" s="5" t="s">
        <v>166</v>
      </c>
    </row>
    <row r="4" spans="1:7">
      <c r="A4" s="6" t="s">
        <v>268</v>
      </c>
      <c r="B4" s="5" t="s">
        <v>368</v>
      </c>
      <c r="C4" s="5">
        <v>41</v>
      </c>
      <c r="D4" s="5"/>
      <c r="E4" s="5"/>
      <c r="F4" s="5"/>
      <c r="G4" s="5"/>
    </row>
    <row r="5" spans="1:7">
      <c r="A5" s="5">
        <v>3</v>
      </c>
      <c r="B5" s="6" t="s">
        <v>356</v>
      </c>
      <c r="C5" s="5">
        <v>43</v>
      </c>
      <c r="D5" s="5" t="s">
        <v>158</v>
      </c>
      <c r="E5" s="5"/>
      <c r="F5" s="5"/>
      <c r="G5" s="5"/>
    </row>
    <row r="6" spans="1:7">
      <c r="A6" s="5">
        <v>4</v>
      </c>
      <c r="B6" s="6" t="s">
        <v>357</v>
      </c>
      <c r="C6" s="5">
        <v>71</v>
      </c>
      <c r="D6" s="6" t="s">
        <v>351</v>
      </c>
      <c r="E6" s="5"/>
      <c r="F6" s="5"/>
      <c r="G6" s="5"/>
    </row>
    <row r="7" spans="1:7">
      <c r="A7" s="5">
        <v>5</v>
      </c>
      <c r="B7" s="5" t="s">
        <v>358</v>
      </c>
      <c r="C7" s="5">
        <v>87</v>
      </c>
      <c r="D7" s="5" t="s">
        <v>159</v>
      </c>
      <c r="E7" s="5"/>
      <c r="F7" s="5"/>
      <c r="G7" s="5"/>
    </row>
    <row r="8" spans="1:7">
      <c r="A8" s="6" t="s">
        <v>269</v>
      </c>
      <c r="B8" s="5" t="s">
        <v>369</v>
      </c>
      <c r="C8" s="5">
        <v>103</v>
      </c>
      <c r="D8" s="5"/>
      <c r="E8" s="5"/>
      <c r="F8" s="5"/>
      <c r="G8" s="5"/>
    </row>
    <row r="9" spans="1:7">
      <c r="A9" s="5">
        <v>6</v>
      </c>
      <c r="B9" s="6" t="s">
        <v>359</v>
      </c>
      <c r="C9" s="5">
        <v>105</v>
      </c>
      <c r="D9" s="5" t="s">
        <v>160</v>
      </c>
      <c r="E9" s="5"/>
      <c r="F9" s="5"/>
      <c r="G9" s="5"/>
    </row>
    <row r="10" spans="1:7">
      <c r="A10" s="5">
        <v>7</v>
      </c>
      <c r="B10" s="6" t="s">
        <v>360</v>
      </c>
      <c r="C10" s="5">
        <v>131</v>
      </c>
      <c r="D10" s="5" t="s">
        <v>161</v>
      </c>
      <c r="E10" s="5"/>
      <c r="F10" s="5"/>
      <c r="G10" s="5"/>
    </row>
    <row r="11" spans="1:7">
      <c r="A11" s="5">
        <v>8</v>
      </c>
      <c r="B11" s="5" t="s">
        <v>361</v>
      </c>
      <c r="C11" s="5">
        <v>149</v>
      </c>
      <c r="D11" s="5" t="s">
        <v>162</v>
      </c>
      <c r="E11" s="5"/>
      <c r="F11" s="5"/>
      <c r="G11" s="5"/>
    </row>
    <row r="12" spans="1:7">
      <c r="A12" s="6" t="s">
        <v>270</v>
      </c>
      <c r="B12" s="5" t="s">
        <v>370</v>
      </c>
      <c r="C12" s="5">
        <v>169</v>
      </c>
      <c r="D12" s="5"/>
      <c r="E12" s="5"/>
      <c r="F12" s="5"/>
      <c r="G12" s="5"/>
    </row>
    <row r="13" spans="1:7">
      <c r="A13" s="5">
        <v>9</v>
      </c>
      <c r="B13" s="6" t="s">
        <v>362</v>
      </c>
      <c r="C13" s="5">
        <v>171</v>
      </c>
      <c r="D13" s="5" t="s">
        <v>163</v>
      </c>
      <c r="E13" s="5"/>
      <c r="F13" s="5"/>
      <c r="G13" s="5"/>
    </row>
    <row r="14" spans="1:7">
      <c r="A14" s="5">
        <v>10</v>
      </c>
      <c r="B14" s="5" t="s">
        <v>363</v>
      </c>
      <c r="C14" s="5">
        <v>185</v>
      </c>
      <c r="D14" s="5" t="s">
        <v>164</v>
      </c>
      <c r="E14" s="5"/>
      <c r="F14" s="5"/>
      <c r="G14" s="5"/>
    </row>
    <row r="15" spans="1:7">
      <c r="A15" s="5">
        <v>11</v>
      </c>
      <c r="B15" s="6" t="s">
        <v>364</v>
      </c>
      <c r="C15" s="5">
        <v>201</v>
      </c>
      <c r="D15" s="5" t="s">
        <v>165</v>
      </c>
      <c r="E15" s="5"/>
      <c r="F15" s="5"/>
      <c r="G15" s="5"/>
    </row>
    <row r="16" spans="1:7">
      <c r="A16" s="5">
        <v>12</v>
      </c>
      <c r="B16" s="6" t="s">
        <v>365</v>
      </c>
      <c r="C16" s="5">
        <v>225</v>
      </c>
      <c r="D16" s="5" t="s">
        <v>166</v>
      </c>
      <c r="E16" s="5"/>
      <c r="F16" s="5"/>
      <c r="G16" s="5"/>
    </row>
    <row r="17" spans="1:7">
      <c r="A17" s="5" t="s">
        <v>352</v>
      </c>
      <c r="B17" s="6" t="s">
        <v>371</v>
      </c>
      <c r="C17" s="5">
        <v>247</v>
      </c>
      <c r="D17" s="5"/>
      <c r="E17" s="5"/>
      <c r="F17" s="5"/>
      <c r="G17" s="5"/>
    </row>
    <row r="18" spans="1:7">
      <c r="A18" s="5">
        <v>13</v>
      </c>
      <c r="B18" s="6" t="s">
        <v>366</v>
      </c>
      <c r="C18" s="5">
        <v>249</v>
      </c>
      <c r="D18" s="5" t="s">
        <v>167</v>
      </c>
      <c r="E18" s="5"/>
      <c r="F18" s="5"/>
      <c r="G18" s="5"/>
    </row>
    <row r="19" spans="1:7">
      <c r="A19" s="5">
        <v>14</v>
      </c>
      <c r="B19" s="6" t="s">
        <v>367</v>
      </c>
      <c r="C19" s="5">
        <v>277</v>
      </c>
      <c r="D19" s="5" t="s">
        <v>168</v>
      </c>
      <c r="E19" s="5"/>
      <c r="F19" s="5"/>
      <c r="G19" s="5"/>
    </row>
  </sheetData>
  <pageMargins left="0.69930555555555596" right="0.69930555555555596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6"/>
  <sheetViews>
    <sheetView zoomScaleNormal="100" workbookViewId="0">
      <selection activeCell="B14" sqref="B14"/>
    </sheetView>
  </sheetViews>
  <sheetFormatPr defaultColWidth="8.7265625" defaultRowHeight="14.5"/>
  <cols>
    <col min="1" max="1" width="5.81640625" customWidth="1"/>
    <col min="2" max="2" width="120.6328125" customWidth="1"/>
    <col min="3" max="3" width="3.81640625" bestFit="1" customWidth="1"/>
  </cols>
  <sheetData>
    <row r="1" spans="1:7">
      <c r="A1" s="5"/>
      <c r="B1" s="6" t="s">
        <v>379</v>
      </c>
      <c r="C1" s="5">
        <v>1</v>
      </c>
      <c r="D1" s="5" t="s">
        <v>170</v>
      </c>
      <c r="E1" s="5"/>
      <c r="F1" s="5"/>
      <c r="G1" s="5" t="s">
        <v>169</v>
      </c>
    </row>
    <row r="2" spans="1:7">
      <c r="A2" s="5">
        <v>1</v>
      </c>
      <c r="B2" s="6" t="s">
        <v>372</v>
      </c>
      <c r="C2" s="5">
        <v>21</v>
      </c>
      <c r="D2" s="5" t="s">
        <v>171</v>
      </c>
      <c r="E2" s="5"/>
      <c r="F2" s="5"/>
      <c r="G2" s="5" t="s">
        <v>172</v>
      </c>
    </row>
    <row r="3" spans="1:7">
      <c r="A3" s="5">
        <v>2</v>
      </c>
      <c r="B3" s="5" t="s">
        <v>373</v>
      </c>
      <c r="C3" s="5">
        <v>39</v>
      </c>
      <c r="D3" s="5" t="s">
        <v>172</v>
      </c>
      <c r="E3" s="5"/>
      <c r="F3" s="5"/>
      <c r="G3" s="5" t="s">
        <v>176</v>
      </c>
    </row>
    <row r="4" spans="1:7">
      <c r="A4" s="5">
        <v>3</v>
      </c>
      <c r="B4" s="5" t="s">
        <v>374</v>
      </c>
      <c r="C4" s="5">
        <v>61</v>
      </c>
      <c r="D4" s="5" t="s">
        <v>173</v>
      </c>
      <c r="E4" s="5"/>
      <c r="F4" s="5"/>
      <c r="G4" s="5" t="s">
        <v>171</v>
      </c>
    </row>
    <row r="5" spans="1:7">
      <c r="A5" s="5">
        <v>4</v>
      </c>
      <c r="B5" s="6" t="s">
        <v>375</v>
      </c>
      <c r="C5" s="5">
        <v>77</v>
      </c>
      <c r="D5" s="5" t="s">
        <v>174</v>
      </c>
      <c r="E5" s="5"/>
      <c r="F5" s="5"/>
      <c r="G5" s="5"/>
    </row>
    <row r="6" spans="1:7">
      <c r="A6" s="5">
        <v>5</v>
      </c>
      <c r="B6" s="6" t="s">
        <v>376</v>
      </c>
      <c r="C6" s="5">
        <v>89</v>
      </c>
      <c r="D6" s="5" t="s">
        <v>175</v>
      </c>
      <c r="E6" s="5"/>
      <c r="F6" s="5"/>
      <c r="G6" s="5"/>
    </row>
    <row r="7" spans="1:7">
      <c r="A7" s="5">
        <v>6</v>
      </c>
      <c r="B7" s="6" t="s">
        <v>377</v>
      </c>
      <c r="C7" s="5">
        <v>111</v>
      </c>
      <c r="D7" s="5" t="s">
        <v>176</v>
      </c>
      <c r="E7" s="5"/>
      <c r="F7" s="5"/>
      <c r="G7" s="5"/>
    </row>
    <row r="8" spans="1:7">
      <c r="A8" s="5">
        <v>7</v>
      </c>
      <c r="B8" s="5" t="s">
        <v>378</v>
      </c>
      <c r="C8" s="5">
        <v>135</v>
      </c>
      <c r="D8" s="5" t="s">
        <v>168</v>
      </c>
      <c r="E8" s="5"/>
      <c r="F8" s="5"/>
      <c r="G8" s="5"/>
    </row>
    <row r="9" spans="1:7">
      <c r="A9" s="5">
        <v>8</v>
      </c>
      <c r="B9" s="6" t="s">
        <v>714</v>
      </c>
      <c r="C9" s="5">
        <v>153</v>
      </c>
      <c r="D9" s="5" t="s">
        <v>706</v>
      </c>
      <c r="E9" s="5"/>
      <c r="F9" s="5"/>
      <c r="G9" s="5"/>
    </row>
    <row r="10" spans="1:7">
      <c r="A10" s="5">
        <v>9</v>
      </c>
      <c r="B10" s="6" t="s">
        <v>715</v>
      </c>
      <c r="C10" s="5">
        <v>175</v>
      </c>
      <c r="D10" s="5" t="s">
        <v>707</v>
      </c>
      <c r="E10" s="5"/>
      <c r="F10" s="5"/>
      <c r="G10" s="5"/>
    </row>
    <row r="11" spans="1:7">
      <c r="A11" s="5">
        <v>10</v>
      </c>
      <c r="B11" s="6" t="s">
        <v>716</v>
      </c>
      <c r="C11" s="5">
        <v>195</v>
      </c>
      <c r="D11" s="5" t="s">
        <v>708</v>
      </c>
      <c r="E11" s="5"/>
      <c r="F11" s="5"/>
      <c r="G11" s="5"/>
    </row>
    <row r="12" spans="1:7">
      <c r="A12" s="5">
        <v>11</v>
      </c>
      <c r="B12" s="6" t="s">
        <v>719</v>
      </c>
      <c r="C12" s="5">
        <v>215</v>
      </c>
      <c r="D12" s="5" t="s">
        <v>709</v>
      </c>
      <c r="E12" s="5"/>
      <c r="F12" s="5"/>
      <c r="G12" s="5"/>
    </row>
    <row r="13" spans="1:7">
      <c r="A13" s="5">
        <v>12</v>
      </c>
      <c r="B13" s="6" t="s">
        <v>717</v>
      </c>
      <c r="C13" s="5">
        <v>233</v>
      </c>
      <c r="D13" s="5" t="s">
        <v>710</v>
      </c>
      <c r="E13" s="5"/>
      <c r="F13" s="5"/>
      <c r="G13" s="5"/>
    </row>
    <row r="14" spans="1:7">
      <c r="A14" s="5">
        <v>13</v>
      </c>
      <c r="B14" s="6" t="s">
        <v>718</v>
      </c>
      <c r="C14" s="5">
        <v>261</v>
      </c>
      <c r="D14" s="5" t="s">
        <v>711</v>
      </c>
      <c r="E14" s="5"/>
      <c r="F14" s="5"/>
      <c r="G14" s="5"/>
    </row>
    <row r="15" spans="1:7">
      <c r="A15" s="5">
        <v>14</v>
      </c>
      <c r="B15" s="6" t="s">
        <v>720</v>
      </c>
      <c r="C15" s="5">
        <v>279</v>
      </c>
      <c r="D15" s="5" t="s">
        <v>712</v>
      </c>
      <c r="E15" s="5"/>
      <c r="F15" s="5"/>
      <c r="G15" s="5"/>
    </row>
    <row r="16" spans="1:7">
      <c r="A16" s="5">
        <v>15</v>
      </c>
      <c r="B16" s="6" t="s">
        <v>721</v>
      </c>
      <c r="C16" s="5">
        <v>297</v>
      </c>
      <c r="D16" s="5" t="s">
        <v>713</v>
      </c>
      <c r="E16" s="5"/>
      <c r="F16" s="5"/>
      <c r="G16" s="5"/>
    </row>
  </sheetData>
  <pageMargins left="0.69930555555555596" right="0.69930555555555596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DD72F-3005-41A0-982E-D4F33C27CB19}">
  <dimension ref="A1:G53"/>
  <sheetViews>
    <sheetView tabSelected="1" topLeftCell="A7" zoomScaleNormal="100" workbookViewId="0">
      <selection activeCell="B32" sqref="B32"/>
    </sheetView>
  </sheetViews>
  <sheetFormatPr defaultColWidth="8.7265625" defaultRowHeight="14.5"/>
  <cols>
    <col min="1" max="1" width="5.81640625" style="5" customWidth="1"/>
    <col min="2" max="2" width="120.6328125" style="5" customWidth="1"/>
    <col min="3" max="3" width="3.81640625" style="5" bestFit="1" customWidth="1"/>
    <col min="4" max="7" width="8.7265625" style="5"/>
  </cols>
  <sheetData>
    <row r="1" spans="1:7">
      <c r="A1" s="5">
        <v>1</v>
      </c>
      <c r="B1" s="5" t="s">
        <v>385</v>
      </c>
      <c r="C1" s="5">
        <v>1</v>
      </c>
      <c r="G1" s="5" t="s">
        <v>245</v>
      </c>
    </row>
    <row r="2" spans="1:7">
      <c r="A2" s="5" t="s">
        <v>271</v>
      </c>
      <c r="B2" s="5" t="s">
        <v>386</v>
      </c>
      <c r="C2" s="5">
        <v>1</v>
      </c>
      <c r="G2" s="5" t="s">
        <v>191</v>
      </c>
    </row>
    <row r="3" spans="1:7">
      <c r="A3" s="5" t="s">
        <v>271</v>
      </c>
      <c r="B3" s="5" t="s">
        <v>387</v>
      </c>
      <c r="C3" s="5">
        <v>5</v>
      </c>
    </row>
    <row r="4" spans="1:7">
      <c r="A4" s="5" t="s">
        <v>271</v>
      </c>
      <c r="B4" s="5" t="s">
        <v>388</v>
      </c>
      <c r="C4" s="5">
        <v>7</v>
      </c>
    </row>
    <row r="5" spans="1:7">
      <c r="A5" s="5" t="s">
        <v>271</v>
      </c>
      <c r="B5" s="10" t="s">
        <v>724</v>
      </c>
      <c r="C5" s="5">
        <v>8</v>
      </c>
    </row>
    <row r="6" spans="1:7">
      <c r="A6" s="5" t="s">
        <v>271</v>
      </c>
      <c r="B6" s="5" t="s">
        <v>389</v>
      </c>
      <c r="C6" s="5">
        <v>9</v>
      </c>
    </row>
    <row r="7" spans="1:7">
      <c r="A7" s="5">
        <v>2</v>
      </c>
      <c r="B7" s="5" t="s">
        <v>390</v>
      </c>
      <c r="C7" s="5">
        <v>13</v>
      </c>
    </row>
    <row r="8" spans="1:7">
      <c r="A8" s="5" t="s">
        <v>271</v>
      </c>
      <c r="B8" s="5" t="s">
        <v>391</v>
      </c>
      <c r="C8" s="5">
        <v>13</v>
      </c>
    </row>
    <row r="9" spans="1:7">
      <c r="A9" s="5" t="s">
        <v>271</v>
      </c>
      <c r="B9" s="5" t="s">
        <v>392</v>
      </c>
      <c r="C9" s="5">
        <v>30</v>
      </c>
    </row>
    <row r="10" spans="1:7">
      <c r="A10" s="5" t="s">
        <v>271</v>
      </c>
      <c r="B10" s="5" t="s">
        <v>393</v>
      </c>
      <c r="C10" s="5">
        <v>42</v>
      </c>
    </row>
    <row r="11" spans="1:7">
      <c r="A11" s="5" t="s">
        <v>271</v>
      </c>
      <c r="B11" s="5" t="s">
        <v>394</v>
      </c>
      <c r="C11" s="5">
        <v>50</v>
      </c>
    </row>
    <row r="12" spans="1:7">
      <c r="A12" s="5" t="s">
        <v>271</v>
      </c>
      <c r="B12" s="5" t="s">
        <v>395</v>
      </c>
      <c r="C12" s="5">
        <v>60</v>
      </c>
    </row>
    <row r="13" spans="1:7">
      <c r="A13" s="5" t="s">
        <v>271</v>
      </c>
      <c r="B13" s="5" t="s">
        <v>396</v>
      </c>
      <c r="C13" s="5">
        <v>66</v>
      </c>
    </row>
    <row r="14" spans="1:7">
      <c r="A14" s="5" t="s">
        <v>271</v>
      </c>
      <c r="B14" s="5" t="s">
        <v>397</v>
      </c>
      <c r="C14" s="5">
        <v>81</v>
      </c>
    </row>
    <row r="15" spans="1:7">
      <c r="A15" s="5">
        <v>3</v>
      </c>
      <c r="B15" s="5" t="s">
        <v>398</v>
      </c>
      <c r="C15" s="5">
        <v>93</v>
      </c>
    </row>
    <row r="16" spans="1:7">
      <c r="A16" s="5" t="s">
        <v>271</v>
      </c>
      <c r="B16" s="5" t="s">
        <v>399</v>
      </c>
      <c r="C16" s="5">
        <v>93</v>
      </c>
    </row>
    <row r="17" spans="1:3">
      <c r="A17" s="5" t="s">
        <v>271</v>
      </c>
      <c r="B17" s="5" t="s">
        <v>400</v>
      </c>
      <c r="C17" s="5">
        <v>97</v>
      </c>
    </row>
    <row r="18" spans="1:3">
      <c r="A18" s="5" t="s">
        <v>271</v>
      </c>
      <c r="B18" s="5" t="s">
        <v>401</v>
      </c>
      <c r="C18" s="5">
        <v>101</v>
      </c>
    </row>
    <row r="19" spans="1:3">
      <c r="A19" s="5" t="s">
        <v>271</v>
      </c>
      <c r="B19" s="5" t="s">
        <v>402</v>
      </c>
      <c r="C19" s="5">
        <v>105</v>
      </c>
    </row>
    <row r="20" spans="1:3">
      <c r="A20" s="5" t="s">
        <v>271</v>
      </c>
      <c r="B20" s="5" t="s">
        <v>403</v>
      </c>
      <c r="C20" s="5">
        <v>112</v>
      </c>
    </row>
    <row r="21" spans="1:3">
      <c r="A21" s="5" t="s">
        <v>271</v>
      </c>
      <c r="B21" s="5" t="s">
        <v>397</v>
      </c>
      <c r="C21" s="5">
        <v>115</v>
      </c>
    </row>
    <row r="22" spans="1:3">
      <c r="A22" s="5">
        <v>4</v>
      </c>
      <c r="B22" s="5" t="s">
        <v>404</v>
      </c>
      <c r="C22" s="5">
        <v>135</v>
      </c>
    </row>
    <row r="23" spans="1:3">
      <c r="A23" s="5" t="s">
        <v>271</v>
      </c>
      <c r="B23" s="5" t="s">
        <v>405</v>
      </c>
      <c r="C23" s="5">
        <v>135</v>
      </c>
    </row>
    <row r="24" spans="1:3">
      <c r="A24" s="5" t="s">
        <v>271</v>
      </c>
      <c r="B24" s="5" t="s">
        <v>406</v>
      </c>
      <c r="C24" s="5">
        <v>155</v>
      </c>
    </row>
    <row r="25" spans="1:3">
      <c r="A25" s="5" t="s">
        <v>271</v>
      </c>
      <c r="B25" s="5" t="s">
        <v>407</v>
      </c>
      <c r="C25" s="5">
        <v>163</v>
      </c>
    </row>
    <row r="26" spans="1:3">
      <c r="A26" s="5" t="s">
        <v>271</v>
      </c>
      <c r="B26" s="5" t="s">
        <v>408</v>
      </c>
      <c r="C26" s="5">
        <v>168</v>
      </c>
    </row>
    <row r="27" spans="1:3">
      <c r="A27" s="5">
        <v>5</v>
      </c>
      <c r="B27" s="5" t="s">
        <v>409</v>
      </c>
      <c r="C27" s="5">
        <v>177</v>
      </c>
    </row>
    <row r="28" spans="1:3">
      <c r="A28" s="5" t="s">
        <v>271</v>
      </c>
      <c r="B28" s="5" t="s">
        <v>410</v>
      </c>
      <c r="C28" s="5">
        <v>177</v>
      </c>
    </row>
    <row r="29" spans="1:3">
      <c r="A29" s="5" t="s">
        <v>271</v>
      </c>
      <c r="B29" s="5" t="s">
        <v>411</v>
      </c>
      <c r="C29" s="5">
        <v>178</v>
      </c>
    </row>
    <row r="30" spans="1:3">
      <c r="A30" s="5" t="s">
        <v>271</v>
      </c>
      <c r="B30" s="5" t="s">
        <v>412</v>
      </c>
      <c r="C30" s="5">
        <v>189</v>
      </c>
    </row>
    <row r="31" spans="1:3">
      <c r="A31" s="5" t="s">
        <v>271</v>
      </c>
      <c r="B31" s="5" t="s">
        <v>413</v>
      </c>
      <c r="C31" s="5">
        <v>199</v>
      </c>
    </row>
    <row r="32" spans="1:3">
      <c r="A32" s="5" t="s">
        <v>271</v>
      </c>
      <c r="B32" s="5" t="s">
        <v>414</v>
      </c>
      <c r="C32" s="5">
        <v>205</v>
      </c>
    </row>
    <row r="33" spans="1:3">
      <c r="A33" s="5">
        <v>6</v>
      </c>
      <c r="B33" s="5" t="s">
        <v>415</v>
      </c>
      <c r="C33" s="5">
        <v>209</v>
      </c>
    </row>
    <row r="34" spans="1:3">
      <c r="A34" s="5" t="s">
        <v>271</v>
      </c>
      <c r="B34" s="5" t="s">
        <v>416</v>
      </c>
      <c r="C34" s="5">
        <v>209</v>
      </c>
    </row>
    <row r="35" spans="1:3">
      <c r="A35" s="5" t="s">
        <v>271</v>
      </c>
      <c r="B35" s="5" t="s">
        <v>417</v>
      </c>
      <c r="C35" s="5">
        <v>209</v>
      </c>
    </row>
    <row r="36" spans="1:3">
      <c r="A36" s="5" t="s">
        <v>271</v>
      </c>
      <c r="B36" s="5" t="s">
        <v>418</v>
      </c>
      <c r="C36" s="5">
        <v>228</v>
      </c>
    </row>
    <row r="37" spans="1:3">
      <c r="A37" s="5" t="s">
        <v>271</v>
      </c>
      <c r="B37" s="5" t="s">
        <v>419</v>
      </c>
      <c r="C37" s="5">
        <v>238</v>
      </c>
    </row>
    <row r="38" spans="1:3">
      <c r="A38" s="5">
        <v>7</v>
      </c>
      <c r="B38" s="5" t="s">
        <v>420</v>
      </c>
      <c r="C38" s="5">
        <v>245</v>
      </c>
    </row>
    <row r="39" spans="1:3">
      <c r="A39" s="5" t="s">
        <v>271</v>
      </c>
      <c r="B39" s="5" t="s">
        <v>421</v>
      </c>
      <c r="C39" s="5">
        <v>246</v>
      </c>
    </row>
    <row r="40" spans="1:3">
      <c r="A40" s="5" t="s">
        <v>271</v>
      </c>
      <c r="B40" s="5" t="s">
        <v>422</v>
      </c>
      <c r="C40" s="5">
        <v>252</v>
      </c>
    </row>
    <row r="41" spans="1:3">
      <c r="A41" s="5" t="s">
        <v>271</v>
      </c>
      <c r="B41" s="5" t="s">
        <v>423</v>
      </c>
      <c r="C41" s="5">
        <v>253</v>
      </c>
    </row>
    <row r="42" spans="1:3">
      <c r="A42" s="5" t="s">
        <v>271</v>
      </c>
      <c r="B42" s="5" t="s">
        <v>424</v>
      </c>
      <c r="C42" s="5">
        <v>260</v>
      </c>
    </row>
    <row r="43" spans="1:3">
      <c r="A43" s="5">
        <v>8</v>
      </c>
      <c r="B43" s="5" t="s">
        <v>425</v>
      </c>
      <c r="C43" s="5">
        <v>265</v>
      </c>
    </row>
    <row r="44" spans="1:3">
      <c r="A44" s="5" t="s">
        <v>271</v>
      </c>
      <c r="B44" s="6" t="s">
        <v>426</v>
      </c>
      <c r="C44" s="5">
        <v>266</v>
      </c>
    </row>
    <row r="45" spans="1:3">
      <c r="A45" s="5" t="s">
        <v>271</v>
      </c>
      <c r="B45" s="6" t="s">
        <v>427</v>
      </c>
      <c r="C45" s="5">
        <v>269</v>
      </c>
    </row>
    <row r="46" spans="1:3">
      <c r="A46" s="5" t="s">
        <v>271</v>
      </c>
      <c r="B46" s="5" t="s">
        <v>428</v>
      </c>
      <c r="C46" s="5">
        <v>271</v>
      </c>
    </row>
    <row r="47" spans="1:3">
      <c r="A47" s="5" t="s">
        <v>271</v>
      </c>
      <c r="B47" s="5" t="s">
        <v>429</v>
      </c>
      <c r="C47" s="5">
        <v>276</v>
      </c>
    </row>
    <row r="48" spans="1:3">
      <c r="A48" s="5" t="s">
        <v>271</v>
      </c>
      <c r="B48" s="6" t="s">
        <v>430</v>
      </c>
      <c r="C48" s="5">
        <v>276</v>
      </c>
    </row>
    <row r="49" spans="1:3">
      <c r="A49" s="6" t="s">
        <v>380</v>
      </c>
      <c r="B49" s="6" t="s">
        <v>431</v>
      </c>
      <c r="C49" s="5">
        <v>279</v>
      </c>
    </row>
    <row r="50" spans="1:3">
      <c r="A50" s="5" t="s">
        <v>271</v>
      </c>
      <c r="B50" s="6" t="s">
        <v>381</v>
      </c>
      <c r="C50" s="5">
        <v>287</v>
      </c>
    </row>
    <row r="51" spans="1:3">
      <c r="A51" s="5" t="s">
        <v>271</v>
      </c>
      <c r="B51" s="6" t="s">
        <v>382</v>
      </c>
      <c r="C51" s="5">
        <v>303</v>
      </c>
    </row>
    <row r="52" spans="1:3">
      <c r="A52" s="5" t="s">
        <v>271</v>
      </c>
      <c r="B52" s="6" t="s">
        <v>383</v>
      </c>
      <c r="C52" s="5">
        <v>309</v>
      </c>
    </row>
    <row r="53" spans="1:3">
      <c r="A53" s="5" t="s">
        <v>271</v>
      </c>
      <c r="B53" s="6" t="s">
        <v>384</v>
      </c>
      <c r="C53" s="5">
        <v>319</v>
      </c>
    </row>
  </sheetData>
  <pageMargins left="0.69930555555555596" right="0.69930555555555596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DB4DC-874C-46F4-A6CF-5DA4767603AA}">
  <dimension ref="A1:H20"/>
  <sheetViews>
    <sheetView zoomScaleNormal="100" workbookViewId="0">
      <selection activeCell="B1" sqref="B1"/>
    </sheetView>
  </sheetViews>
  <sheetFormatPr defaultColWidth="8.7265625" defaultRowHeight="14.5"/>
  <cols>
    <col min="1" max="1" width="5.81640625" customWidth="1"/>
    <col min="2" max="2" width="120.6328125" customWidth="1"/>
    <col min="3" max="3" width="3.81640625" customWidth="1"/>
  </cols>
  <sheetData>
    <row r="1" spans="1:8">
      <c r="A1" s="5">
        <v>1</v>
      </c>
      <c r="B1" s="5" t="s">
        <v>432</v>
      </c>
      <c r="C1" s="5"/>
      <c r="D1" s="5" t="s">
        <v>192</v>
      </c>
      <c r="E1" s="5"/>
      <c r="F1" s="5"/>
      <c r="G1" s="5"/>
      <c r="H1" s="5" t="s">
        <v>246</v>
      </c>
    </row>
    <row r="2" spans="1:8">
      <c r="A2" s="5" t="s">
        <v>267</v>
      </c>
      <c r="B2" s="5" t="s">
        <v>433</v>
      </c>
      <c r="C2" s="5"/>
      <c r="D2" s="5"/>
      <c r="E2" s="5"/>
      <c r="F2" s="5"/>
      <c r="G2" s="5"/>
      <c r="H2" s="5" t="s">
        <v>192</v>
      </c>
    </row>
    <row r="3" spans="1:8">
      <c r="A3" s="5">
        <v>2</v>
      </c>
      <c r="B3" s="5" t="s">
        <v>434</v>
      </c>
      <c r="C3" s="5"/>
      <c r="D3" s="5" t="s">
        <v>193</v>
      </c>
      <c r="E3" s="5"/>
      <c r="F3" s="5"/>
      <c r="G3" s="5"/>
      <c r="H3" s="5" t="s">
        <v>247</v>
      </c>
    </row>
    <row r="4" spans="1:8">
      <c r="A4" s="5">
        <v>3</v>
      </c>
      <c r="B4" s="5" t="s">
        <v>435</v>
      </c>
      <c r="C4" s="5"/>
      <c r="D4" s="5" t="s">
        <v>194</v>
      </c>
      <c r="E4" s="5"/>
      <c r="F4" s="5"/>
      <c r="G4" s="5"/>
      <c r="H4" s="5" t="s">
        <v>196</v>
      </c>
    </row>
    <row r="5" spans="1:8">
      <c r="A5" s="5" t="s">
        <v>267</v>
      </c>
      <c r="B5" s="6" t="s">
        <v>452</v>
      </c>
      <c r="C5" s="5"/>
      <c r="D5" s="5"/>
      <c r="E5" s="5"/>
      <c r="F5" s="5"/>
      <c r="G5" s="5"/>
      <c r="H5" s="5" t="s">
        <v>248</v>
      </c>
    </row>
    <row r="6" spans="1:8">
      <c r="A6" s="5">
        <v>4</v>
      </c>
      <c r="B6" s="5" t="s">
        <v>436</v>
      </c>
      <c r="C6" s="5"/>
      <c r="D6" s="5" t="s">
        <v>195</v>
      </c>
      <c r="E6" s="5"/>
      <c r="F6" s="5"/>
      <c r="G6" s="5"/>
      <c r="H6" s="5"/>
    </row>
    <row r="7" spans="1:8">
      <c r="A7" s="5">
        <v>5</v>
      </c>
      <c r="B7" s="5" t="s">
        <v>437</v>
      </c>
      <c r="C7" s="5"/>
      <c r="D7" s="5" t="s">
        <v>196</v>
      </c>
      <c r="E7" s="5"/>
      <c r="F7" s="5"/>
      <c r="G7" s="5"/>
      <c r="H7" s="5"/>
    </row>
    <row r="8" spans="1:8">
      <c r="A8" s="5">
        <v>6</v>
      </c>
      <c r="B8" s="5" t="s">
        <v>438</v>
      </c>
      <c r="C8" s="5"/>
      <c r="D8" s="5" t="s">
        <v>197</v>
      </c>
      <c r="E8" s="5"/>
      <c r="F8" s="5"/>
      <c r="G8" s="5"/>
      <c r="H8" s="5"/>
    </row>
    <row r="9" spans="1:8">
      <c r="A9" s="5">
        <v>7</v>
      </c>
      <c r="B9" s="5" t="s">
        <v>439</v>
      </c>
      <c r="C9" s="5"/>
      <c r="D9" s="5" t="s">
        <v>198</v>
      </c>
      <c r="E9" s="5"/>
      <c r="F9" s="5"/>
      <c r="G9" s="5"/>
      <c r="H9" s="5"/>
    </row>
    <row r="10" spans="1:8">
      <c r="A10" s="6" t="s">
        <v>269</v>
      </c>
      <c r="B10" s="5" t="s">
        <v>440</v>
      </c>
      <c r="C10" s="5"/>
      <c r="D10" s="5"/>
      <c r="E10" s="5"/>
      <c r="F10" s="5"/>
      <c r="G10" s="5"/>
      <c r="H10" s="5"/>
    </row>
    <row r="11" spans="1:8">
      <c r="A11" s="5">
        <v>8</v>
      </c>
      <c r="B11" s="5" t="s">
        <v>441</v>
      </c>
      <c r="C11" s="5"/>
      <c r="D11" s="5" t="s">
        <v>199</v>
      </c>
      <c r="E11" s="5"/>
      <c r="F11" s="5"/>
      <c r="G11" s="5"/>
      <c r="H11" s="5"/>
    </row>
    <row r="12" spans="1:8">
      <c r="A12" s="5">
        <v>9</v>
      </c>
      <c r="B12" s="5" t="s">
        <v>442</v>
      </c>
      <c r="C12" s="5"/>
      <c r="D12" s="5" t="s">
        <v>200</v>
      </c>
      <c r="E12" s="5"/>
      <c r="F12" s="5"/>
      <c r="G12" s="5"/>
      <c r="H12" s="5"/>
    </row>
    <row r="13" spans="1:8">
      <c r="A13" s="5">
        <v>10</v>
      </c>
      <c r="B13" s="5" t="s">
        <v>443</v>
      </c>
      <c r="C13" s="5"/>
      <c r="D13" s="5" t="s">
        <v>201</v>
      </c>
      <c r="E13" s="5"/>
      <c r="F13" s="5"/>
      <c r="G13" s="5"/>
      <c r="H13" s="5"/>
    </row>
    <row r="14" spans="1:8">
      <c r="A14" s="5" t="s">
        <v>270</v>
      </c>
      <c r="B14" s="5" t="s">
        <v>444</v>
      </c>
      <c r="C14" s="5"/>
      <c r="D14" s="5"/>
      <c r="E14" s="5"/>
      <c r="F14" s="5"/>
      <c r="G14" s="5"/>
      <c r="H14" s="5"/>
    </row>
    <row r="15" spans="1:8">
      <c r="A15" s="5">
        <v>11</v>
      </c>
      <c r="B15" s="5" t="s">
        <v>445</v>
      </c>
      <c r="C15" s="5"/>
      <c r="D15" s="5" t="s">
        <v>202</v>
      </c>
      <c r="E15" s="5"/>
      <c r="F15" s="5"/>
      <c r="G15" s="5"/>
      <c r="H15" s="5"/>
    </row>
    <row r="16" spans="1:8">
      <c r="A16" s="5">
        <v>12</v>
      </c>
      <c r="B16" s="5" t="s">
        <v>446</v>
      </c>
      <c r="C16" s="5"/>
      <c r="D16" s="5" t="s">
        <v>203</v>
      </c>
      <c r="E16" s="5"/>
      <c r="F16" s="5"/>
      <c r="G16" s="5"/>
      <c r="H16" s="5"/>
    </row>
    <row r="17" spans="1:8">
      <c r="A17" s="5">
        <v>13</v>
      </c>
      <c r="B17" s="5" t="s">
        <v>447</v>
      </c>
      <c r="C17" s="5"/>
      <c r="D17" s="5" t="s">
        <v>204</v>
      </c>
      <c r="E17" s="5"/>
      <c r="F17" s="5"/>
      <c r="G17" s="5"/>
      <c r="H17" s="5"/>
    </row>
    <row r="18" spans="1:8">
      <c r="A18" s="5">
        <v>14</v>
      </c>
      <c r="B18" s="5" t="s">
        <v>448</v>
      </c>
      <c r="C18" s="5"/>
      <c r="D18" s="5" t="s">
        <v>205</v>
      </c>
      <c r="E18" s="5"/>
      <c r="F18" s="5"/>
      <c r="G18" s="5"/>
      <c r="H18" s="5"/>
    </row>
    <row r="19" spans="1:8">
      <c r="A19" s="5">
        <v>15</v>
      </c>
      <c r="B19" s="5" t="s">
        <v>449</v>
      </c>
      <c r="C19" s="5"/>
      <c r="D19" s="5" t="s">
        <v>206</v>
      </c>
      <c r="E19" s="5"/>
      <c r="F19" s="5"/>
      <c r="G19" s="5"/>
      <c r="H19" s="5"/>
    </row>
    <row r="20" spans="1:8">
      <c r="A20" s="5" t="s">
        <v>451</v>
      </c>
      <c r="B20" s="5" t="s">
        <v>450</v>
      </c>
      <c r="C20" s="5"/>
      <c r="D20" s="5" t="s">
        <v>207</v>
      </c>
      <c r="E20" s="5"/>
      <c r="F20" s="5"/>
      <c r="G20" s="5"/>
      <c r="H20" s="5"/>
    </row>
  </sheetData>
  <pageMargins left="0.69930555555555596" right="0.69930555555555596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34D0F-9598-43D3-9F24-14AC8EF4678A}">
  <dimension ref="A1:G21"/>
  <sheetViews>
    <sheetView zoomScaleNormal="100" workbookViewId="0">
      <selection activeCell="B1" sqref="B1"/>
    </sheetView>
  </sheetViews>
  <sheetFormatPr defaultColWidth="8.7265625" defaultRowHeight="14.5"/>
  <cols>
    <col min="1" max="1" width="5.81640625" customWidth="1"/>
    <col min="2" max="2" width="120.6328125" customWidth="1"/>
    <col min="3" max="3" width="3.81640625" bestFit="1" customWidth="1"/>
  </cols>
  <sheetData>
    <row r="1" spans="1:7">
      <c r="A1" s="5" t="s">
        <v>267</v>
      </c>
      <c r="B1" s="5" t="s">
        <v>453</v>
      </c>
      <c r="C1" s="5">
        <v>1</v>
      </c>
      <c r="D1" s="5"/>
      <c r="E1" s="5"/>
      <c r="F1" s="5"/>
      <c r="G1" s="5" t="s">
        <v>249</v>
      </c>
    </row>
    <row r="2" spans="1:7">
      <c r="A2" s="5">
        <v>1</v>
      </c>
      <c r="B2" s="5" t="s">
        <v>454</v>
      </c>
      <c r="C2" s="5">
        <v>3</v>
      </c>
      <c r="D2" s="5" t="s">
        <v>208</v>
      </c>
      <c r="E2" s="5"/>
      <c r="F2" s="5"/>
      <c r="G2" s="5" t="s">
        <v>222</v>
      </c>
    </row>
    <row r="3" spans="1:7">
      <c r="A3" s="6" t="s">
        <v>268</v>
      </c>
      <c r="B3" s="5" t="s">
        <v>455</v>
      </c>
      <c r="C3" s="5">
        <v>13</v>
      </c>
      <c r="D3" s="5"/>
      <c r="E3" s="5"/>
      <c r="F3" s="5"/>
      <c r="G3" s="5"/>
    </row>
    <row r="4" spans="1:7">
      <c r="A4" s="5">
        <v>2</v>
      </c>
      <c r="B4" s="5" t="s">
        <v>456</v>
      </c>
      <c r="C4" s="5">
        <v>17</v>
      </c>
      <c r="D4" s="5" t="s">
        <v>209</v>
      </c>
      <c r="E4" s="5"/>
      <c r="F4" s="5"/>
      <c r="G4" s="5"/>
    </row>
    <row r="5" spans="1:7">
      <c r="A5" s="5">
        <v>3</v>
      </c>
      <c r="B5" s="5" t="s">
        <v>457</v>
      </c>
      <c r="C5" s="5">
        <v>37</v>
      </c>
      <c r="D5" s="5" t="s">
        <v>210</v>
      </c>
      <c r="E5" s="5"/>
      <c r="F5" s="5"/>
      <c r="G5" s="5"/>
    </row>
    <row r="6" spans="1:7">
      <c r="A6" s="5">
        <v>4</v>
      </c>
      <c r="B6" s="5" t="s">
        <v>458</v>
      </c>
      <c r="C6" s="5">
        <v>51</v>
      </c>
      <c r="D6" s="5" t="s">
        <v>211</v>
      </c>
      <c r="E6" s="5"/>
      <c r="F6" s="5"/>
      <c r="G6" s="5"/>
    </row>
    <row r="7" spans="1:7">
      <c r="A7" s="5">
        <v>5</v>
      </c>
      <c r="B7" s="6" t="s">
        <v>723</v>
      </c>
      <c r="C7" s="5">
        <v>69</v>
      </c>
      <c r="D7" s="5" t="s">
        <v>212</v>
      </c>
      <c r="E7" s="5"/>
      <c r="F7" s="5"/>
      <c r="G7" s="5"/>
    </row>
    <row r="8" spans="1:7">
      <c r="A8" s="6" t="s">
        <v>269</v>
      </c>
      <c r="B8" s="5" t="s">
        <v>459</v>
      </c>
      <c r="C8" s="5">
        <v>89</v>
      </c>
      <c r="D8" s="5"/>
      <c r="E8" s="5"/>
      <c r="F8" s="5"/>
      <c r="G8" s="5"/>
    </row>
    <row r="9" spans="1:7">
      <c r="A9" s="5">
        <v>6</v>
      </c>
      <c r="B9" s="5" t="s">
        <v>460</v>
      </c>
      <c r="C9" s="5">
        <v>93</v>
      </c>
      <c r="D9" s="5" t="s">
        <v>213</v>
      </c>
      <c r="E9" s="5"/>
      <c r="F9" s="5"/>
      <c r="G9" s="5"/>
    </row>
    <row r="10" spans="1:7">
      <c r="A10" s="5">
        <v>7</v>
      </c>
      <c r="B10" s="5" t="s">
        <v>461</v>
      </c>
      <c r="C10" s="5">
        <v>103</v>
      </c>
      <c r="D10" s="5" t="s">
        <v>214</v>
      </c>
      <c r="E10" s="5"/>
      <c r="F10" s="5"/>
      <c r="G10" s="5"/>
    </row>
    <row r="11" spans="1:7">
      <c r="A11" s="5">
        <v>8</v>
      </c>
      <c r="B11" s="5" t="s">
        <v>462</v>
      </c>
      <c r="C11" s="5">
        <v>127</v>
      </c>
      <c r="D11" s="5" t="s">
        <v>215</v>
      </c>
      <c r="E11" s="5"/>
      <c r="F11" s="5"/>
      <c r="G11" s="5"/>
    </row>
    <row r="12" spans="1:7">
      <c r="A12" s="5">
        <v>9</v>
      </c>
      <c r="B12" s="5" t="s">
        <v>463</v>
      </c>
      <c r="C12" s="5">
        <v>147</v>
      </c>
      <c r="D12" s="5" t="s">
        <v>216</v>
      </c>
      <c r="E12" s="5"/>
      <c r="F12" s="5"/>
      <c r="G12" s="5"/>
    </row>
    <row r="13" spans="1:7">
      <c r="A13" s="6" t="s">
        <v>270</v>
      </c>
      <c r="B13" s="5" t="s">
        <v>464</v>
      </c>
      <c r="C13" s="5">
        <v>163</v>
      </c>
      <c r="D13" s="5"/>
      <c r="E13" s="5"/>
      <c r="F13" s="5"/>
      <c r="G13" s="5"/>
    </row>
    <row r="14" spans="1:7">
      <c r="A14" s="5">
        <v>10</v>
      </c>
      <c r="B14" s="5" t="s">
        <v>465</v>
      </c>
      <c r="C14" s="5">
        <v>167</v>
      </c>
      <c r="D14" s="5" t="s">
        <v>217</v>
      </c>
      <c r="E14" s="5"/>
      <c r="F14" s="5"/>
      <c r="G14" s="5"/>
    </row>
    <row r="15" spans="1:7">
      <c r="A15" s="5">
        <v>11</v>
      </c>
      <c r="B15" s="5" t="s">
        <v>466</v>
      </c>
      <c r="C15" s="5">
        <v>185</v>
      </c>
      <c r="D15" s="5" t="s">
        <v>218</v>
      </c>
      <c r="E15" s="5"/>
      <c r="F15" s="5"/>
      <c r="G15" s="5"/>
    </row>
    <row r="16" spans="1:7">
      <c r="A16" s="5">
        <v>12</v>
      </c>
      <c r="B16" s="6" t="s">
        <v>467</v>
      </c>
      <c r="C16" s="5">
        <v>203</v>
      </c>
      <c r="D16" s="5" t="s">
        <v>219</v>
      </c>
      <c r="E16" s="5"/>
      <c r="F16" s="5"/>
      <c r="G16" s="5"/>
    </row>
    <row r="17" spans="1:7">
      <c r="A17" s="5" t="s">
        <v>451</v>
      </c>
      <c r="B17" s="6" t="s">
        <v>468</v>
      </c>
      <c r="C17" s="5">
        <v>223</v>
      </c>
      <c r="D17" s="5"/>
      <c r="E17" s="5"/>
      <c r="F17" s="5"/>
      <c r="G17" s="5"/>
    </row>
    <row r="18" spans="1:7">
      <c r="A18" s="5">
        <v>13</v>
      </c>
      <c r="B18" s="5" t="s">
        <v>469</v>
      </c>
      <c r="C18" s="5">
        <v>227</v>
      </c>
      <c r="D18" s="5" t="s">
        <v>220</v>
      </c>
      <c r="E18" s="5"/>
      <c r="F18" s="5"/>
      <c r="G18" s="5"/>
    </row>
    <row r="19" spans="1:7">
      <c r="A19" s="5">
        <v>14</v>
      </c>
      <c r="B19" s="5" t="s">
        <v>470</v>
      </c>
      <c r="C19" s="5">
        <v>243</v>
      </c>
      <c r="D19" s="5" t="s">
        <v>221</v>
      </c>
      <c r="E19" s="5"/>
      <c r="F19" s="5"/>
      <c r="G19" s="5"/>
    </row>
    <row r="20" spans="1:7">
      <c r="A20" s="5">
        <v>15</v>
      </c>
      <c r="B20" s="5" t="s">
        <v>471</v>
      </c>
      <c r="C20" s="5">
        <v>259</v>
      </c>
      <c r="D20" s="5" t="s">
        <v>222</v>
      </c>
      <c r="E20" s="5"/>
      <c r="F20" s="5"/>
      <c r="G20" s="5"/>
    </row>
    <row r="21" spans="1:7">
      <c r="A21" s="5">
        <v>16</v>
      </c>
      <c r="B21" s="5" t="s">
        <v>472</v>
      </c>
      <c r="C21" s="5">
        <v>277</v>
      </c>
      <c r="D21" s="5" t="s">
        <v>223</v>
      </c>
      <c r="E21" s="5"/>
      <c r="F21" s="5"/>
      <c r="G21" s="5"/>
    </row>
  </sheetData>
  <pageMargins left="0.69930555555555596" right="0.69930555555555596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162B3-34A1-4FA3-B464-0D9B57460BA7}">
  <dimension ref="A1:G22"/>
  <sheetViews>
    <sheetView zoomScaleNormal="100" workbookViewId="0">
      <selection activeCell="B8" sqref="B8"/>
    </sheetView>
  </sheetViews>
  <sheetFormatPr defaultColWidth="8.7265625" defaultRowHeight="14.5"/>
  <cols>
    <col min="1" max="1" width="5.81640625" customWidth="1"/>
    <col min="2" max="2" width="120.6328125" customWidth="1"/>
    <col min="3" max="3" width="3.81640625" bestFit="1" customWidth="1"/>
  </cols>
  <sheetData>
    <row r="1" spans="1:7">
      <c r="A1" s="5" t="s">
        <v>267</v>
      </c>
      <c r="B1" s="5" t="s">
        <v>453</v>
      </c>
      <c r="C1" s="5">
        <v>1</v>
      </c>
      <c r="D1" s="5"/>
      <c r="E1" s="5"/>
      <c r="F1" s="5"/>
      <c r="G1" s="5" t="s">
        <v>250</v>
      </c>
    </row>
    <row r="2" spans="1:7">
      <c r="A2" s="5">
        <v>1</v>
      </c>
      <c r="B2" s="5" t="s">
        <v>474</v>
      </c>
      <c r="C2" s="5">
        <v>3</v>
      </c>
      <c r="D2" s="5" t="s">
        <v>224</v>
      </c>
      <c r="E2" s="5"/>
      <c r="F2" s="5"/>
      <c r="G2" s="5" t="s">
        <v>224</v>
      </c>
    </row>
    <row r="3" spans="1:7">
      <c r="A3" s="6" t="s">
        <v>268</v>
      </c>
      <c r="B3" s="5" t="s">
        <v>475</v>
      </c>
      <c r="C3" s="5">
        <v>29</v>
      </c>
      <c r="D3" s="5"/>
      <c r="E3" s="5"/>
      <c r="F3" s="5"/>
      <c r="G3" s="5" t="s">
        <v>232</v>
      </c>
    </row>
    <row r="4" spans="1:7">
      <c r="A4" s="5">
        <v>2</v>
      </c>
      <c r="B4" s="5" t="s">
        <v>476</v>
      </c>
      <c r="C4" s="5">
        <v>33</v>
      </c>
      <c r="D4" s="5" t="s">
        <v>225</v>
      </c>
      <c r="E4" s="5"/>
      <c r="F4" s="5"/>
      <c r="G4" s="5"/>
    </row>
    <row r="5" spans="1:7">
      <c r="A5" s="5">
        <v>3</v>
      </c>
      <c r="B5" s="5" t="s">
        <v>477</v>
      </c>
      <c r="C5" s="5">
        <v>51</v>
      </c>
      <c r="D5" s="5" t="s">
        <v>226</v>
      </c>
      <c r="E5" s="5"/>
      <c r="F5" s="5"/>
      <c r="G5" s="5"/>
    </row>
    <row r="6" spans="1:7">
      <c r="A6" s="5">
        <v>4</v>
      </c>
      <c r="B6" s="5" t="s">
        <v>478</v>
      </c>
      <c r="C6" s="5">
        <v>61</v>
      </c>
      <c r="D6" s="5" t="s">
        <v>227</v>
      </c>
      <c r="E6" s="5"/>
      <c r="F6" s="5"/>
      <c r="G6" s="5"/>
    </row>
    <row r="7" spans="1:7">
      <c r="A7" s="5">
        <v>5</v>
      </c>
      <c r="B7" s="5" t="s">
        <v>479</v>
      </c>
      <c r="C7" s="5">
        <v>99</v>
      </c>
      <c r="D7" s="5" t="s">
        <v>228</v>
      </c>
      <c r="E7" s="5"/>
      <c r="F7" s="5"/>
      <c r="G7" s="5"/>
    </row>
    <row r="8" spans="1:7">
      <c r="A8" s="5">
        <v>6</v>
      </c>
      <c r="B8" s="5" t="s">
        <v>480</v>
      </c>
      <c r="C8" s="5">
        <v>129</v>
      </c>
      <c r="D8" s="5" t="s">
        <v>229</v>
      </c>
      <c r="E8" s="5"/>
      <c r="F8" s="5"/>
      <c r="G8" s="5"/>
    </row>
    <row r="9" spans="1:7">
      <c r="A9" s="5">
        <v>7</v>
      </c>
      <c r="B9" s="5" t="s">
        <v>481</v>
      </c>
      <c r="C9" s="5">
        <v>143</v>
      </c>
      <c r="D9" s="5" t="s">
        <v>230</v>
      </c>
      <c r="E9" s="5"/>
      <c r="F9" s="5"/>
      <c r="G9" s="5"/>
    </row>
    <row r="10" spans="1:7">
      <c r="A10" s="6" t="s">
        <v>269</v>
      </c>
      <c r="B10" s="10" t="s">
        <v>725</v>
      </c>
      <c r="C10" s="5">
        <v>181</v>
      </c>
      <c r="D10" s="5"/>
      <c r="E10" s="5"/>
      <c r="F10" s="5"/>
      <c r="G10" s="5"/>
    </row>
    <row r="11" spans="1:7">
      <c r="A11" s="5">
        <v>8</v>
      </c>
      <c r="B11" s="5" t="s">
        <v>482</v>
      </c>
      <c r="C11" s="5">
        <v>185</v>
      </c>
      <c r="D11" s="5" t="s">
        <v>231</v>
      </c>
      <c r="E11" s="5"/>
      <c r="F11" s="5"/>
      <c r="G11" s="5"/>
    </row>
    <row r="12" spans="1:7">
      <c r="A12" s="5">
        <v>9</v>
      </c>
      <c r="B12" s="5" t="s">
        <v>483</v>
      </c>
      <c r="C12" s="5">
        <v>207</v>
      </c>
      <c r="D12" s="5" t="s">
        <v>232</v>
      </c>
      <c r="E12" s="5"/>
      <c r="F12" s="5"/>
      <c r="G12" s="5"/>
    </row>
    <row r="13" spans="1:7">
      <c r="A13" s="5">
        <v>10</v>
      </c>
      <c r="B13" s="5" t="s">
        <v>484</v>
      </c>
      <c r="C13" s="5">
        <v>221</v>
      </c>
      <c r="D13" s="5" t="s">
        <v>233</v>
      </c>
      <c r="E13" s="5"/>
      <c r="F13" s="5"/>
      <c r="G13" s="5"/>
    </row>
    <row r="14" spans="1:7">
      <c r="A14" s="5">
        <v>11</v>
      </c>
      <c r="B14" s="5" t="s">
        <v>485</v>
      </c>
      <c r="C14" s="5">
        <v>239</v>
      </c>
      <c r="D14" s="5" t="s">
        <v>234</v>
      </c>
      <c r="E14" s="5"/>
      <c r="F14" s="5"/>
      <c r="G14" s="5"/>
    </row>
    <row r="15" spans="1:7">
      <c r="A15" s="5">
        <v>12</v>
      </c>
      <c r="B15" s="5" t="s">
        <v>486</v>
      </c>
      <c r="C15" s="5">
        <v>259</v>
      </c>
      <c r="D15" s="5" t="s">
        <v>235</v>
      </c>
      <c r="E15" s="5"/>
      <c r="F15" s="5"/>
      <c r="G15" s="5"/>
    </row>
    <row r="16" spans="1:7">
      <c r="A16" s="5">
        <v>13</v>
      </c>
      <c r="B16" s="5" t="s">
        <v>487</v>
      </c>
      <c r="C16" s="5">
        <v>283</v>
      </c>
      <c r="D16" s="6" t="s">
        <v>473</v>
      </c>
      <c r="E16" s="5"/>
      <c r="F16" s="5"/>
      <c r="G16" s="5"/>
    </row>
    <row r="17" spans="1:7">
      <c r="A17" s="5" t="s">
        <v>270</v>
      </c>
      <c r="B17" s="5" t="s">
        <v>488</v>
      </c>
      <c r="C17" s="5">
        <v>305</v>
      </c>
      <c r="D17" s="5"/>
      <c r="E17" s="5"/>
      <c r="F17" s="5"/>
      <c r="G17" s="5"/>
    </row>
    <row r="18" spans="1:7">
      <c r="A18" s="5">
        <v>14</v>
      </c>
      <c r="B18" s="5" t="s">
        <v>489</v>
      </c>
      <c r="C18" s="5">
        <v>309</v>
      </c>
      <c r="D18" s="5" t="s">
        <v>236</v>
      </c>
      <c r="E18" s="5"/>
      <c r="F18" s="5"/>
      <c r="G18" s="5"/>
    </row>
    <row r="19" spans="1:7">
      <c r="A19" s="5">
        <v>15</v>
      </c>
      <c r="B19" s="5" t="s">
        <v>490</v>
      </c>
      <c r="C19" s="5">
        <v>331</v>
      </c>
      <c r="D19" s="5" t="s">
        <v>237</v>
      </c>
      <c r="E19" s="5"/>
      <c r="F19" s="5"/>
      <c r="G19" s="5"/>
    </row>
    <row r="20" spans="1:7">
      <c r="A20" s="5">
        <v>16</v>
      </c>
      <c r="B20" s="5" t="s">
        <v>491</v>
      </c>
      <c r="C20" s="5">
        <v>353</v>
      </c>
      <c r="D20" s="5" t="s">
        <v>238</v>
      </c>
      <c r="E20" s="5"/>
      <c r="F20" s="5"/>
      <c r="G20" s="5"/>
    </row>
    <row r="21" spans="1:7">
      <c r="A21" s="5">
        <v>17</v>
      </c>
      <c r="B21" s="5" t="s">
        <v>492</v>
      </c>
      <c r="C21" s="5">
        <v>383</v>
      </c>
      <c r="D21" s="5" t="s">
        <v>239</v>
      </c>
      <c r="E21" s="5"/>
      <c r="F21" s="5"/>
      <c r="G21" s="5"/>
    </row>
    <row r="22" spans="1:7">
      <c r="A22" s="5">
        <v>18</v>
      </c>
      <c r="B22" s="5" t="s">
        <v>493</v>
      </c>
      <c r="C22" s="5">
        <v>409</v>
      </c>
      <c r="D22" s="5" t="s">
        <v>240</v>
      </c>
      <c r="E22" s="5"/>
      <c r="F22" s="5"/>
      <c r="G22" s="5"/>
    </row>
  </sheetData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Sheet6</vt:lpstr>
      <vt:lpstr>MTE (2)</vt:lpstr>
      <vt:lpstr>MTE</vt:lpstr>
      <vt:lpstr>MTER</vt:lpstr>
      <vt:lpstr>EOM</vt:lpstr>
      <vt:lpstr>FGTI</vt:lpstr>
      <vt:lpstr>MOE</vt:lpstr>
      <vt:lpstr>LOBS</vt:lpstr>
      <vt:lpstr>CEVO</vt:lpstr>
      <vt:lpstr>RC</vt:lpstr>
      <vt:lpstr>FBAW</vt:lpstr>
      <vt:lpstr>MOD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2023-10-22T04:22:43Z</dcterms:created>
  <dcterms:modified xsi:type="dcterms:W3CDTF">2023-10-24T06:39:27Z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D61371E2AA2EF9D5EEDD3465224CCF1A_33</vt:lpwstr>
  </property>
  <property fmtid="{D5CDD505-2E9C-101B-9397-08002B2CF9AE}" pid="3" name="KSOProductBuildVer">
    <vt:lpwstr>3081-11.33.50</vt:lpwstr>
  </property>
</Properties>
</file>