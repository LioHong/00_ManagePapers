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ocuments\99_Papers\02_Conference on Artificial Life (ISAL)\"/>
    </mc:Choice>
  </mc:AlternateContent>
  <xr:revisionPtr revIDLastSave="0" documentId="13_ncr:1_{7B50DE1E-CEAE-48DF-9B15-2E9353DCF9C6}" xr6:coauthVersionLast="47" xr6:coauthVersionMax="47" xr10:uidLastSave="{00000000-0000-0000-0000-000000000000}"/>
  <bookViews>
    <workbookView xWindow="-120" yWindow="-16320" windowWidth="29040" windowHeight="15840" xr2:uid="{0E68BA95-658D-4F6C-BEF1-362F11F6AE1B}"/>
  </bookViews>
  <sheets>
    <sheet name="Papers" sheetId="1" r:id="rId1"/>
    <sheet name="RAW" sheetId="2" r:id="rId2"/>
    <sheet name="Pair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1" i="3" l="1"/>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P2" i="3"/>
  <c r="N235" i="2"/>
  <c r="N227" i="2"/>
  <c r="N190" i="2"/>
  <c r="N184" i="2"/>
  <c r="N167" i="2"/>
  <c r="N164" i="2"/>
  <c r="N46" i="2"/>
  <c r="N43" i="2"/>
  <c r="N29" i="2"/>
  <c r="M260" i="2"/>
  <c r="M259" i="2"/>
  <c r="M258" i="2"/>
  <c r="M257" i="2"/>
  <c r="M256" i="2"/>
  <c r="M255" i="2"/>
  <c r="M254" i="2"/>
  <c r="M253" i="2"/>
  <c r="M252" i="2"/>
  <c r="M251" i="2"/>
  <c r="M250" i="2"/>
  <c r="M249" i="2"/>
  <c r="M248" i="2"/>
  <c r="M247" i="2"/>
  <c r="M246" i="2"/>
  <c r="M245" i="2"/>
  <c r="M244" i="2"/>
  <c r="M243" i="2"/>
  <c r="M242" i="2"/>
  <c r="M241" i="2"/>
  <c r="M240" i="2"/>
  <c r="M239" i="2"/>
  <c r="M238" i="2"/>
  <c r="M237" i="2"/>
  <c r="M235" i="2"/>
  <c r="M234" i="2"/>
  <c r="M233" i="2"/>
  <c r="M232" i="2"/>
  <c r="M231" i="2"/>
  <c r="M230" i="2"/>
  <c r="M229"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0" i="2"/>
  <c r="M189" i="2"/>
  <c r="M188" i="2"/>
  <c r="M187" i="2"/>
  <c r="M186" i="2"/>
  <c r="M184" i="2"/>
  <c r="M183" i="2"/>
  <c r="M182" i="2"/>
  <c r="M181" i="2"/>
  <c r="M180" i="2"/>
  <c r="M179" i="2"/>
  <c r="M178" i="2"/>
  <c r="M177" i="2"/>
  <c r="M176" i="2"/>
  <c r="M175" i="2"/>
  <c r="M174" i="2"/>
  <c r="M173" i="2"/>
  <c r="M172" i="2"/>
  <c r="M171" i="2"/>
  <c r="M170" i="2"/>
  <c r="M169" i="2"/>
  <c r="M167" i="2"/>
  <c r="M166"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6" i="2"/>
  <c r="M45" i="2"/>
  <c r="M43" i="2"/>
  <c r="M42" i="2"/>
  <c r="M41" i="2"/>
  <c r="M40" i="2"/>
  <c r="M39" i="2"/>
  <c r="M38" i="2"/>
  <c r="M37" i="2"/>
  <c r="M36" i="2"/>
  <c r="M35" i="2"/>
  <c r="M34" i="2"/>
  <c r="M33" i="2"/>
  <c r="M32" i="2"/>
  <c r="M31" i="2"/>
  <c r="M29" i="2"/>
  <c r="M28" i="2"/>
  <c r="M27" i="2"/>
  <c r="M26" i="2"/>
  <c r="M25" i="2"/>
  <c r="M24" i="2"/>
  <c r="M23" i="2"/>
  <c r="M22" i="2"/>
  <c r="M21" i="2"/>
  <c r="M20" i="2"/>
  <c r="M19" i="2"/>
  <c r="M18" i="2"/>
  <c r="M17" i="2"/>
  <c r="M16" i="2"/>
  <c r="M15" i="2"/>
  <c r="M14" i="2"/>
  <c r="M13" i="2"/>
  <c r="M12" i="2"/>
  <c r="M11" i="2"/>
  <c r="M10" i="2"/>
  <c r="M8" i="2"/>
  <c r="M7" i="2"/>
  <c r="M6" i="2"/>
  <c r="M5" i="2"/>
  <c r="M4" i="2"/>
  <c r="M3" i="2"/>
  <c r="M2" i="2"/>
  <c r="M9" i="2"/>
  <c r="G2" i="3"/>
  <c r="K259" i="2"/>
  <c r="J259" i="2"/>
  <c r="I259" i="2"/>
  <c r="H259" i="2"/>
  <c r="G259" i="2"/>
  <c r="F259" i="2"/>
  <c r="E259" i="2"/>
  <c r="D259" i="2"/>
  <c r="C259" i="2"/>
  <c r="B259" i="2"/>
  <c r="K258" i="2"/>
  <c r="J258" i="2"/>
  <c r="I258" i="2"/>
  <c r="H258" i="2"/>
  <c r="G258" i="2"/>
  <c r="F258" i="2"/>
  <c r="E258" i="2"/>
  <c r="D258" i="2"/>
  <c r="C258" i="2"/>
  <c r="B258" i="2"/>
  <c r="K257" i="2"/>
  <c r="J257" i="2"/>
  <c r="I257" i="2"/>
  <c r="H257" i="2"/>
  <c r="G257" i="2"/>
  <c r="F257" i="2"/>
  <c r="E257" i="2"/>
  <c r="D257" i="2"/>
  <c r="C257" i="2"/>
  <c r="B257" i="2"/>
  <c r="K256" i="2"/>
  <c r="J256" i="2"/>
  <c r="I256" i="2"/>
  <c r="H256" i="2"/>
  <c r="G256" i="2"/>
  <c r="F256" i="2"/>
  <c r="E256" i="2"/>
  <c r="D256" i="2"/>
  <c r="C256" i="2"/>
  <c r="B256" i="2"/>
  <c r="K255" i="2"/>
  <c r="J255" i="2"/>
  <c r="I255" i="2"/>
  <c r="H255" i="2"/>
  <c r="G255" i="2"/>
  <c r="F255" i="2"/>
  <c r="E255" i="2"/>
  <c r="D255" i="2"/>
  <c r="C255" i="2"/>
  <c r="B255" i="2"/>
  <c r="K254" i="2"/>
  <c r="J254" i="2"/>
  <c r="I254" i="2"/>
  <c r="H254" i="2"/>
  <c r="G254" i="2"/>
  <c r="F254" i="2"/>
  <c r="E254" i="2"/>
  <c r="D254" i="2"/>
  <c r="C254" i="2"/>
  <c r="B254" i="2"/>
  <c r="K253" i="2"/>
  <c r="J253" i="2"/>
  <c r="I253" i="2"/>
  <c r="H253" i="2"/>
  <c r="G253" i="2"/>
  <c r="F253" i="2"/>
  <c r="E253" i="2"/>
  <c r="D253" i="2"/>
  <c r="C253" i="2"/>
  <c r="B253" i="2"/>
  <c r="K252" i="2"/>
  <c r="J252" i="2"/>
  <c r="I252" i="2"/>
  <c r="H252" i="2"/>
  <c r="G252" i="2"/>
  <c r="F252" i="2"/>
  <c r="E252" i="2"/>
  <c r="D252" i="2"/>
  <c r="C252" i="2"/>
  <c r="B252" i="2"/>
  <c r="K251" i="2"/>
  <c r="J251" i="2"/>
  <c r="I251" i="2"/>
  <c r="H251" i="2"/>
  <c r="G251" i="2"/>
  <c r="F251" i="2"/>
  <c r="E251" i="2"/>
  <c r="D251" i="2"/>
  <c r="C251" i="2"/>
  <c r="B251" i="2"/>
  <c r="K250" i="2"/>
  <c r="J250" i="2"/>
  <c r="I250" i="2"/>
  <c r="H250" i="2"/>
  <c r="G250" i="2"/>
  <c r="F250" i="2"/>
  <c r="E250" i="2"/>
  <c r="D250" i="2"/>
  <c r="C250" i="2"/>
  <c r="B250" i="2"/>
  <c r="K249" i="2"/>
  <c r="J249" i="2"/>
  <c r="I249" i="2"/>
  <c r="H249" i="2"/>
  <c r="G249" i="2"/>
  <c r="F249" i="2"/>
  <c r="E249" i="2"/>
  <c r="D249" i="2"/>
  <c r="C249" i="2"/>
  <c r="B249" i="2"/>
  <c r="K248" i="2"/>
  <c r="J248" i="2"/>
  <c r="I248" i="2"/>
  <c r="H248" i="2"/>
  <c r="G248" i="2"/>
  <c r="F248" i="2"/>
  <c r="E248" i="2"/>
  <c r="D248" i="2"/>
  <c r="C248" i="2"/>
  <c r="B248" i="2"/>
  <c r="K247" i="2"/>
  <c r="J247" i="2"/>
  <c r="I247" i="2"/>
  <c r="H247" i="2"/>
  <c r="G247" i="2"/>
  <c r="F247" i="2"/>
  <c r="E247" i="2"/>
  <c r="D247" i="2"/>
  <c r="C247" i="2"/>
  <c r="B247" i="2"/>
  <c r="K246" i="2"/>
  <c r="J246" i="2"/>
  <c r="I246" i="2"/>
  <c r="H246" i="2"/>
  <c r="G246" i="2"/>
  <c r="F246" i="2"/>
  <c r="E246" i="2"/>
  <c r="D246" i="2"/>
  <c r="C246" i="2"/>
  <c r="B246" i="2"/>
  <c r="K245" i="2"/>
  <c r="J245" i="2"/>
  <c r="I245" i="2"/>
  <c r="H245" i="2"/>
  <c r="G245" i="2"/>
  <c r="F245" i="2"/>
  <c r="E245" i="2"/>
  <c r="D245" i="2"/>
  <c r="C245" i="2"/>
  <c r="B245" i="2"/>
  <c r="K244" i="2"/>
  <c r="J244" i="2"/>
  <c r="I244" i="2"/>
  <c r="H244" i="2"/>
  <c r="G244" i="2"/>
  <c r="F244" i="2"/>
  <c r="E244" i="2"/>
  <c r="D244" i="2"/>
  <c r="C244" i="2"/>
  <c r="B244" i="2"/>
  <c r="K243" i="2"/>
  <c r="J243" i="2"/>
  <c r="I243" i="2"/>
  <c r="H243" i="2"/>
  <c r="G243" i="2"/>
  <c r="F243" i="2"/>
  <c r="E243" i="2"/>
  <c r="D243" i="2"/>
  <c r="C243" i="2"/>
  <c r="B243" i="2"/>
  <c r="K242" i="2"/>
  <c r="J242" i="2"/>
  <c r="I242" i="2"/>
  <c r="H242" i="2"/>
  <c r="G242" i="2"/>
  <c r="F242" i="2"/>
  <c r="E242" i="2"/>
  <c r="D242" i="2"/>
  <c r="C242" i="2"/>
  <c r="B242" i="2"/>
  <c r="K241" i="2"/>
  <c r="J241" i="2"/>
  <c r="I241" i="2"/>
  <c r="H241" i="2"/>
  <c r="G241" i="2"/>
  <c r="F241" i="2"/>
  <c r="E241" i="2"/>
  <c r="D241" i="2"/>
  <c r="C241" i="2"/>
  <c r="B241" i="2"/>
  <c r="K240" i="2"/>
  <c r="J240" i="2"/>
  <c r="I240" i="2"/>
  <c r="H240" i="2"/>
  <c r="G240" i="2"/>
  <c r="F240" i="2"/>
  <c r="E240" i="2"/>
  <c r="D240" i="2"/>
  <c r="C240" i="2"/>
  <c r="B240" i="2"/>
  <c r="K239" i="2"/>
  <c r="J239" i="2"/>
  <c r="I239" i="2"/>
  <c r="H239" i="2"/>
  <c r="G239" i="2"/>
  <c r="F239" i="2"/>
  <c r="E239" i="2"/>
  <c r="D239" i="2"/>
  <c r="C239" i="2"/>
  <c r="B239" i="2"/>
  <c r="K238" i="2"/>
  <c r="J238" i="2"/>
  <c r="I238" i="2"/>
  <c r="H238" i="2"/>
  <c r="G238" i="2"/>
  <c r="F238" i="2"/>
  <c r="E238" i="2"/>
  <c r="D238" i="2"/>
  <c r="C238" i="2"/>
  <c r="B238" i="2"/>
  <c r="K237" i="2"/>
  <c r="J237" i="2"/>
  <c r="I237" i="2"/>
  <c r="H237" i="2"/>
  <c r="G237" i="2"/>
  <c r="F237" i="2"/>
  <c r="E237" i="2"/>
  <c r="D237" i="2"/>
  <c r="C237" i="2"/>
  <c r="B237" i="2"/>
  <c r="K236" i="2"/>
  <c r="J236" i="2"/>
  <c r="I236" i="2"/>
  <c r="H236" i="2"/>
  <c r="G236" i="2"/>
  <c r="F236" i="2"/>
  <c r="E236" i="2"/>
  <c r="D236" i="2"/>
  <c r="C236" i="2"/>
  <c r="B236" i="2"/>
  <c r="K235" i="2"/>
  <c r="J235" i="2"/>
  <c r="I235" i="2"/>
  <c r="H235" i="2"/>
  <c r="G235" i="2"/>
  <c r="F235" i="2"/>
  <c r="E235" i="2"/>
  <c r="D235" i="2"/>
  <c r="C235" i="2"/>
  <c r="B235" i="2"/>
  <c r="K234" i="2"/>
  <c r="J234" i="2"/>
  <c r="I234" i="2"/>
  <c r="H234" i="2"/>
  <c r="G234" i="2"/>
  <c r="F234" i="2"/>
  <c r="E234" i="2"/>
  <c r="D234" i="2"/>
  <c r="C234" i="2"/>
  <c r="B234" i="2"/>
  <c r="K233" i="2"/>
  <c r="J233" i="2"/>
  <c r="I233" i="2"/>
  <c r="H233" i="2"/>
  <c r="G233" i="2"/>
  <c r="F233" i="2"/>
  <c r="E233" i="2"/>
  <c r="D233" i="2"/>
  <c r="C233" i="2"/>
  <c r="B233" i="2"/>
  <c r="K232" i="2"/>
  <c r="J232" i="2"/>
  <c r="I232" i="2"/>
  <c r="H232" i="2"/>
  <c r="G232" i="2"/>
  <c r="F232" i="2"/>
  <c r="E232" i="2"/>
  <c r="D232" i="2"/>
  <c r="C232" i="2"/>
  <c r="B232" i="2"/>
  <c r="K231" i="2"/>
  <c r="J231" i="2"/>
  <c r="I231" i="2"/>
  <c r="H231" i="2"/>
  <c r="G231" i="2"/>
  <c r="F231" i="2"/>
  <c r="E231" i="2"/>
  <c r="D231" i="2"/>
  <c r="C231" i="2"/>
  <c r="B231" i="2"/>
  <c r="K230" i="2"/>
  <c r="J230" i="2"/>
  <c r="I230" i="2"/>
  <c r="H230" i="2"/>
  <c r="G230" i="2"/>
  <c r="F230" i="2"/>
  <c r="E230" i="2"/>
  <c r="D230" i="2"/>
  <c r="C230" i="2"/>
  <c r="B230" i="2"/>
  <c r="K229" i="2"/>
  <c r="J229" i="2"/>
  <c r="I229" i="2"/>
  <c r="H229" i="2"/>
  <c r="G229" i="2"/>
  <c r="F229" i="2"/>
  <c r="E229" i="2"/>
  <c r="D229" i="2"/>
  <c r="C229" i="2"/>
  <c r="B229" i="2"/>
  <c r="K228" i="2"/>
  <c r="J228" i="2"/>
  <c r="I228" i="2"/>
  <c r="H228" i="2"/>
  <c r="G228" i="2"/>
  <c r="F228" i="2"/>
  <c r="E228" i="2"/>
  <c r="D228" i="2"/>
  <c r="C228" i="2"/>
  <c r="B228" i="2"/>
  <c r="K227" i="2"/>
  <c r="J227" i="2"/>
  <c r="I227" i="2"/>
  <c r="H227" i="2"/>
  <c r="G227" i="2"/>
  <c r="F227" i="2"/>
  <c r="E227" i="2"/>
  <c r="D227" i="2"/>
  <c r="C227" i="2"/>
  <c r="B227" i="2"/>
  <c r="K226" i="2"/>
  <c r="J226" i="2"/>
  <c r="I226" i="2"/>
  <c r="H226" i="2"/>
  <c r="G226" i="2"/>
  <c r="F226" i="2"/>
  <c r="E226" i="2"/>
  <c r="D226" i="2"/>
  <c r="C226" i="2"/>
  <c r="B226" i="2"/>
  <c r="K225" i="2"/>
  <c r="J225" i="2"/>
  <c r="I225" i="2"/>
  <c r="H225" i="2"/>
  <c r="G225" i="2"/>
  <c r="F225" i="2"/>
  <c r="E225" i="2"/>
  <c r="D225" i="2"/>
  <c r="C225" i="2"/>
  <c r="B225" i="2"/>
  <c r="K224" i="2"/>
  <c r="J224" i="2"/>
  <c r="I224" i="2"/>
  <c r="H224" i="2"/>
  <c r="G224" i="2"/>
  <c r="F224" i="2"/>
  <c r="E224" i="2"/>
  <c r="D224" i="2"/>
  <c r="C224" i="2"/>
  <c r="B224" i="2"/>
  <c r="K223" i="2"/>
  <c r="J223" i="2"/>
  <c r="I223" i="2"/>
  <c r="H223" i="2"/>
  <c r="G223" i="2"/>
  <c r="F223" i="2"/>
  <c r="E223" i="2"/>
  <c r="D223" i="2"/>
  <c r="C223" i="2"/>
  <c r="B223" i="2"/>
  <c r="K222" i="2"/>
  <c r="J222" i="2"/>
  <c r="I222" i="2"/>
  <c r="H222" i="2"/>
  <c r="G222" i="2"/>
  <c r="F222" i="2"/>
  <c r="E222" i="2"/>
  <c r="D222" i="2"/>
  <c r="C222" i="2"/>
  <c r="B222" i="2"/>
  <c r="K221" i="2"/>
  <c r="J221" i="2"/>
  <c r="I221" i="2"/>
  <c r="H221" i="2"/>
  <c r="G221" i="2"/>
  <c r="F221" i="2"/>
  <c r="E221" i="2"/>
  <c r="D221" i="2"/>
  <c r="C221" i="2"/>
  <c r="B221" i="2"/>
  <c r="K220" i="2"/>
  <c r="J220" i="2"/>
  <c r="I220" i="2"/>
  <c r="H220" i="2"/>
  <c r="G220" i="2"/>
  <c r="F220" i="2"/>
  <c r="E220" i="2"/>
  <c r="D220" i="2"/>
  <c r="C220" i="2"/>
  <c r="B220" i="2"/>
  <c r="K219" i="2"/>
  <c r="J219" i="2"/>
  <c r="I219" i="2"/>
  <c r="H219" i="2"/>
  <c r="G219" i="2"/>
  <c r="F219" i="2"/>
  <c r="E219" i="2"/>
  <c r="D219" i="2"/>
  <c r="C219" i="2"/>
  <c r="B219" i="2"/>
  <c r="K218" i="2"/>
  <c r="J218" i="2"/>
  <c r="I218" i="2"/>
  <c r="H218" i="2"/>
  <c r="G218" i="2"/>
  <c r="F218" i="2"/>
  <c r="E218" i="2"/>
  <c r="D218" i="2"/>
  <c r="C218" i="2"/>
  <c r="B218" i="2"/>
  <c r="K217" i="2"/>
  <c r="J217" i="2"/>
  <c r="I217" i="2"/>
  <c r="H217" i="2"/>
  <c r="G217" i="2"/>
  <c r="F217" i="2"/>
  <c r="E217" i="2"/>
  <c r="D217" i="2"/>
  <c r="C217" i="2"/>
  <c r="B217" i="2"/>
  <c r="K216" i="2"/>
  <c r="J216" i="2"/>
  <c r="I216" i="2"/>
  <c r="H216" i="2"/>
  <c r="G216" i="2"/>
  <c r="F216" i="2"/>
  <c r="E216" i="2"/>
  <c r="D216" i="2"/>
  <c r="C216" i="2"/>
  <c r="B216" i="2"/>
  <c r="K215" i="2"/>
  <c r="J215" i="2"/>
  <c r="I215" i="2"/>
  <c r="H215" i="2"/>
  <c r="G215" i="2"/>
  <c r="F215" i="2"/>
  <c r="E215" i="2"/>
  <c r="D215" i="2"/>
  <c r="C215" i="2"/>
  <c r="B215" i="2"/>
  <c r="K214" i="2"/>
  <c r="J214" i="2"/>
  <c r="I214" i="2"/>
  <c r="H214" i="2"/>
  <c r="G214" i="2"/>
  <c r="F214" i="2"/>
  <c r="E214" i="2"/>
  <c r="D214" i="2"/>
  <c r="C214" i="2"/>
  <c r="B214" i="2"/>
  <c r="K213" i="2"/>
  <c r="J213" i="2"/>
  <c r="I213" i="2"/>
  <c r="H213" i="2"/>
  <c r="G213" i="2"/>
  <c r="F213" i="2"/>
  <c r="E213" i="2"/>
  <c r="D213" i="2"/>
  <c r="C213" i="2"/>
  <c r="B213" i="2"/>
  <c r="K212" i="2"/>
  <c r="J212" i="2"/>
  <c r="I212" i="2"/>
  <c r="H212" i="2"/>
  <c r="G212" i="2"/>
  <c r="F212" i="2"/>
  <c r="E212" i="2"/>
  <c r="D212" i="2"/>
  <c r="C212" i="2"/>
  <c r="B212" i="2"/>
  <c r="K211" i="2"/>
  <c r="J211" i="2"/>
  <c r="I211" i="2"/>
  <c r="H211" i="2"/>
  <c r="G211" i="2"/>
  <c r="F211" i="2"/>
  <c r="E211" i="2"/>
  <c r="D211" i="2"/>
  <c r="C211" i="2"/>
  <c r="B211" i="2"/>
  <c r="K210" i="2"/>
  <c r="J210" i="2"/>
  <c r="I210" i="2"/>
  <c r="H210" i="2"/>
  <c r="G210" i="2"/>
  <c r="F210" i="2"/>
  <c r="E210" i="2"/>
  <c r="D210" i="2"/>
  <c r="C210" i="2"/>
  <c r="B210" i="2"/>
  <c r="K209" i="2"/>
  <c r="J209" i="2"/>
  <c r="I209" i="2"/>
  <c r="H209" i="2"/>
  <c r="G209" i="2"/>
  <c r="F209" i="2"/>
  <c r="E209" i="2"/>
  <c r="D209" i="2"/>
  <c r="C209" i="2"/>
  <c r="B209" i="2"/>
  <c r="K208" i="2"/>
  <c r="J208" i="2"/>
  <c r="I208" i="2"/>
  <c r="H208" i="2"/>
  <c r="G208" i="2"/>
  <c r="F208" i="2"/>
  <c r="E208" i="2"/>
  <c r="D208" i="2"/>
  <c r="C208" i="2"/>
  <c r="B208" i="2"/>
  <c r="K207" i="2"/>
  <c r="J207" i="2"/>
  <c r="I207" i="2"/>
  <c r="H207" i="2"/>
  <c r="G207" i="2"/>
  <c r="F207" i="2"/>
  <c r="E207" i="2"/>
  <c r="D207" i="2"/>
  <c r="C207" i="2"/>
  <c r="B207" i="2"/>
  <c r="K206" i="2"/>
  <c r="J206" i="2"/>
  <c r="I206" i="2"/>
  <c r="H206" i="2"/>
  <c r="G206" i="2"/>
  <c r="F206" i="2"/>
  <c r="E206" i="2"/>
  <c r="D206" i="2"/>
  <c r="C206" i="2"/>
  <c r="B206" i="2"/>
  <c r="K205" i="2"/>
  <c r="J205" i="2"/>
  <c r="I205" i="2"/>
  <c r="H205" i="2"/>
  <c r="G205" i="2"/>
  <c r="F205" i="2"/>
  <c r="E205" i="2"/>
  <c r="D205" i="2"/>
  <c r="C205" i="2"/>
  <c r="B205" i="2"/>
  <c r="K204" i="2"/>
  <c r="J204" i="2"/>
  <c r="I204" i="2"/>
  <c r="H204" i="2"/>
  <c r="G204" i="2"/>
  <c r="F204" i="2"/>
  <c r="E204" i="2"/>
  <c r="D204" i="2"/>
  <c r="C204" i="2"/>
  <c r="B204" i="2"/>
  <c r="K203" i="2"/>
  <c r="J203" i="2"/>
  <c r="I203" i="2"/>
  <c r="H203" i="2"/>
  <c r="G203" i="2"/>
  <c r="F203" i="2"/>
  <c r="E203" i="2"/>
  <c r="D203" i="2"/>
  <c r="C203" i="2"/>
  <c r="B203" i="2"/>
  <c r="K202" i="2"/>
  <c r="J202" i="2"/>
  <c r="I202" i="2"/>
  <c r="H202" i="2"/>
  <c r="G202" i="2"/>
  <c r="F202" i="2"/>
  <c r="E202" i="2"/>
  <c r="D202" i="2"/>
  <c r="C202" i="2"/>
  <c r="B202" i="2"/>
  <c r="K201" i="2"/>
  <c r="J201" i="2"/>
  <c r="I201" i="2"/>
  <c r="H201" i="2"/>
  <c r="G201" i="2"/>
  <c r="F201" i="2"/>
  <c r="E201" i="2"/>
  <c r="D201" i="2"/>
  <c r="C201" i="2"/>
  <c r="B201" i="2"/>
  <c r="K200" i="2"/>
  <c r="J200" i="2"/>
  <c r="I200" i="2"/>
  <c r="H200" i="2"/>
  <c r="G200" i="2"/>
  <c r="F200" i="2"/>
  <c r="E200" i="2"/>
  <c r="D200" i="2"/>
  <c r="C200" i="2"/>
  <c r="B200" i="2"/>
  <c r="K199" i="2"/>
  <c r="J199" i="2"/>
  <c r="I199" i="2"/>
  <c r="H199" i="2"/>
  <c r="G199" i="2"/>
  <c r="F199" i="2"/>
  <c r="E199" i="2"/>
  <c r="D199" i="2"/>
  <c r="C199" i="2"/>
  <c r="B199" i="2"/>
  <c r="K198" i="2"/>
  <c r="J198" i="2"/>
  <c r="I198" i="2"/>
  <c r="H198" i="2"/>
  <c r="G198" i="2"/>
  <c r="F198" i="2"/>
  <c r="E198" i="2"/>
  <c r="D198" i="2"/>
  <c r="C198" i="2"/>
  <c r="B198" i="2"/>
  <c r="K197" i="2"/>
  <c r="J197" i="2"/>
  <c r="I197" i="2"/>
  <c r="H197" i="2"/>
  <c r="G197" i="2"/>
  <c r="F197" i="2"/>
  <c r="E197" i="2"/>
  <c r="D197" i="2"/>
  <c r="C197" i="2"/>
  <c r="B197" i="2"/>
  <c r="K196" i="2"/>
  <c r="J196" i="2"/>
  <c r="I196" i="2"/>
  <c r="H196" i="2"/>
  <c r="G196" i="2"/>
  <c r="F196" i="2"/>
  <c r="E196" i="2"/>
  <c r="D196" i="2"/>
  <c r="C196" i="2"/>
  <c r="B196" i="2"/>
  <c r="K195" i="2"/>
  <c r="J195" i="2"/>
  <c r="I195" i="2"/>
  <c r="H195" i="2"/>
  <c r="G195" i="2"/>
  <c r="F195" i="2"/>
  <c r="E195" i="2"/>
  <c r="D195" i="2"/>
  <c r="C195" i="2"/>
  <c r="B195" i="2"/>
  <c r="K194" i="2"/>
  <c r="J194" i="2"/>
  <c r="I194" i="2"/>
  <c r="H194" i="2"/>
  <c r="G194" i="2"/>
  <c r="F194" i="2"/>
  <c r="E194" i="2"/>
  <c r="D194" i="2"/>
  <c r="C194" i="2"/>
  <c r="B194" i="2"/>
  <c r="K193" i="2"/>
  <c r="J193" i="2"/>
  <c r="I193" i="2"/>
  <c r="H193" i="2"/>
  <c r="G193" i="2"/>
  <c r="F193" i="2"/>
  <c r="E193" i="2"/>
  <c r="D193" i="2"/>
  <c r="C193" i="2"/>
  <c r="B193" i="2"/>
  <c r="K192" i="2"/>
  <c r="J192" i="2"/>
  <c r="I192" i="2"/>
  <c r="H192" i="2"/>
  <c r="G192" i="2"/>
  <c r="F192" i="2"/>
  <c r="E192" i="2"/>
  <c r="D192" i="2"/>
  <c r="C192" i="2"/>
  <c r="B192" i="2"/>
  <c r="K191" i="2"/>
  <c r="J191" i="2"/>
  <c r="I191" i="2"/>
  <c r="H191" i="2"/>
  <c r="G191" i="2"/>
  <c r="F191" i="2"/>
  <c r="E191" i="2"/>
  <c r="D191" i="2"/>
  <c r="C191" i="2"/>
  <c r="B191" i="2"/>
  <c r="K190" i="2"/>
  <c r="J190" i="2"/>
  <c r="I190" i="2"/>
  <c r="H190" i="2"/>
  <c r="G190" i="2"/>
  <c r="F190" i="2"/>
  <c r="E190" i="2"/>
  <c r="D190" i="2"/>
  <c r="C190" i="2"/>
  <c r="B190" i="2"/>
  <c r="K189" i="2"/>
  <c r="J189" i="2"/>
  <c r="I189" i="2"/>
  <c r="H189" i="2"/>
  <c r="G189" i="2"/>
  <c r="F189" i="2"/>
  <c r="E189" i="2"/>
  <c r="D189" i="2"/>
  <c r="C189" i="2"/>
  <c r="B189" i="2"/>
  <c r="K188" i="2"/>
  <c r="J188" i="2"/>
  <c r="I188" i="2"/>
  <c r="H188" i="2"/>
  <c r="G188" i="2"/>
  <c r="F188" i="2"/>
  <c r="E188" i="2"/>
  <c r="D188" i="2"/>
  <c r="C188" i="2"/>
  <c r="B188" i="2"/>
  <c r="K187" i="2"/>
  <c r="J187" i="2"/>
  <c r="I187" i="2"/>
  <c r="H187" i="2"/>
  <c r="G187" i="2"/>
  <c r="F187" i="2"/>
  <c r="E187" i="2"/>
  <c r="D187" i="2"/>
  <c r="C187" i="2"/>
  <c r="B187" i="2"/>
  <c r="K186" i="2"/>
  <c r="J186" i="2"/>
  <c r="I186" i="2"/>
  <c r="H186" i="2"/>
  <c r="G186" i="2"/>
  <c r="F186" i="2"/>
  <c r="E186" i="2"/>
  <c r="D186" i="2"/>
  <c r="C186" i="2"/>
  <c r="B186" i="2"/>
  <c r="K185" i="2"/>
  <c r="J185" i="2"/>
  <c r="I185" i="2"/>
  <c r="H185" i="2"/>
  <c r="G185" i="2"/>
  <c r="F185" i="2"/>
  <c r="E185" i="2"/>
  <c r="D185" i="2"/>
  <c r="C185" i="2"/>
  <c r="B185" i="2"/>
  <c r="K184" i="2"/>
  <c r="J184" i="2"/>
  <c r="I184" i="2"/>
  <c r="H184" i="2"/>
  <c r="G184" i="2"/>
  <c r="F184" i="2"/>
  <c r="E184" i="2"/>
  <c r="D184" i="2"/>
  <c r="C184" i="2"/>
  <c r="B184" i="2"/>
  <c r="K183" i="2"/>
  <c r="J183" i="2"/>
  <c r="I183" i="2"/>
  <c r="H183" i="2"/>
  <c r="G183" i="2"/>
  <c r="F183" i="2"/>
  <c r="E183" i="2"/>
  <c r="D183" i="2"/>
  <c r="C183" i="2"/>
  <c r="B183" i="2"/>
  <c r="K182" i="2"/>
  <c r="J182" i="2"/>
  <c r="I182" i="2"/>
  <c r="H182" i="2"/>
  <c r="G182" i="2"/>
  <c r="F182" i="2"/>
  <c r="E182" i="2"/>
  <c r="D182" i="2"/>
  <c r="C182" i="2"/>
  <c r="B182" i="2"/>
  <c r="K181" i="2"/>
  <c r="J181" i="2"/>
  <c r="I181" i="2"/>
  <c r="H181" i="2"/>
  <c r="G181" i="2"/>
  <c r="F181" i="2"/>
  <c r="E181" i="2"/>
  <c r="D181" i="2"/>
  <c r="C181" i="2"/>
  <c r="B181" i="2"/>
  <c r="K180" i="2"/>
  <c r="J180" i="2"/>
  <c r="I180" i="2"/>
  <c r="H180" i="2"/>
  <c r="G180" i="2"/>
  <c r="F180" i="2"/>
  <c r="E180" i="2"/>
  <c r="D180" i="2"/>
  <c r="C180" i="2"/>
  <c r="B180" i="2"/>
  <c r="K179" i="2"/>
  <c r="J179" i="2"/>
  <c r="I179" i="2"/>
  <c r="H179" i="2"/>
  <c r="G179" i="2"/>
  <c r="F179" i="2"/>
  <c r="E179" i="2"/>
  <c r="D179" i="2"/>
  <c r="C179" i="2"/>
  <c r="B179" i="2"/>
  <c r="K178" i="2"/>
  <c r="J178" i="2"/>
  <c r="I178" i="2"/>
  <c r="H178" i="2"/>
  <c r="G178" i="2"/>
  <c r="F178" i="2"/>
  <c r="E178" i="2"/>
  <c r="D178" i="2"/>
  <c r="C178" i="2"/>
  <c r="B178" i="2"/>
  <c r="K177" i="2"/>
  <c r="J177" i="2"/>
  <c r="I177" i="2"/>
  <c r="H177" i="2"/>
  <c r="G177" i="2"/>
  <c r="F177" i="2"/>
  <c r="E177" i="2"/>
  <c r="D177" i="2"/>
  <c r="C177" i="2"/>
  <c r="B177" i="2"/>
  <c r="K176" i="2"/>
  <c r="J176" i="2"/>
  <c r="I176" i="2"/>
  <c r="H176" i="2"/>
  <c r="G176" i="2"/>
  <c r="F176" i="2"/>
  <c r="E176" i="2"/>
  <c r="D176" i="2"/>
  <c r="C176" i="2"/>
  <c r="B176" i="2"/>
  <c r="N1" i="2"/>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H165" i="3"/>
  <c r="J165" i="3" s="1"/>
  <c r="H164" i="3"/>
  <c r="J164" i="3" s="1"/>
  <c r="H163" i="3"/>
  <c r="J163" i="3" s="1"/>
  <c r="H162" i="3"/>
  <c r="J162" i="3" s="1"/>
  <c r="H161" i="3"/>
  <c r="J161" i="3" s="1"/>
  <c r="J160" i="3"/>
  <c r="H160" i="3"/>
  <c r="J159" i="3"/>
  <c r="H159" i="3"/>
  <c r="H158" i="3"/>
  <c r="J158" i="3" s="1"/>
  <c r="H157" i="3"/>
  <c r="J157" i="3" s="1"/>
  <c r="H156" i="3"/>
  <c r="J156" i="3" s="1"/>
  <c r="H155" i="3"/>
  <c r="J155" i="3" s="1"/>
  <c r="H154" i="3"/>
  <c r="J154" i="3" s="1"/>
  <c r="H153" i="3"/>
  <c r="J153" i="3" s="1"/>
  <c r="J152" i="3"/>
  <c r="H152" i="3"/>
  <c r="J151" i="3"/>
  <c r="H151" i="3"/>
  <c r="H150" i="3"/>
  <c r="J150" i="3" s="1"/>
  <c r="H149" i="3"/>
  <c r="J149" i="3" s="1"/>
  <c r="H148" i="3"/>
  <c r="J148" i="3" s="1"/>
  <c r="H147" i="3"/>
  <c r="J147" i="3" s="1"/>
  <c r="H146" i="3"/>
  <c r="J146" i="3" s="1"/>
  <c r="H145" i="3"/>
  <c r="J145" i="3" s="1"/>
  <c r="J144" i="3"/>
  <c r="H144" i="3"/>
  <c r="J143" i="3"/>
  <c r="H143" i="3"/>
  <c r="H142" i="3"/>
  <c r="J142" i="3" s="1"/>
  <c r="H141" i="3"/>
  <c r="J141" i="3" s="1"/>
  <c r="H140" i="3"/>
  <c r="J140" i="3" s="1"/>
  <c r="H139" i="3"/>
  <c r="J139" i="3" s="1"/>
  <c r="H138" i="3"/>
  <c r="J138" i="3" s="1"/>
  <c r="H137" i="3"/>
  <c r="J137" i="3" s="1"/>
  <c r="J136" i="3"/>
  <c r="H136" i="3"/>
  <c r="J135" i="3"/>
  <c r="H135" i="3"/>
  <c r="H134" i="3"/>
  <c r="J134" i="3" s="1"/>
  <c r="H133" i="3"/>
  <c r="J133" i="3" s="1"/>
  <c r="H132" i="3"/>
  <c r="J132" i="3" s="1"/>
  <c r="H131" i="3"/>
  <c r="J131" i="3" s="1"/>
  <c r="H130" i="3"/>
  <c r="J130" i="3" s="1"/>
  <c r="H129" i="3"/>
  <c r="J129" i="3" s="1"/>
  <c r="J128" i="3"/>
  <c r="H128" i="3"/>
  <c r="J127" i="3"/>
  <c r="H127" i="3"/>
  <c r="H126" i="3"/>
  <c r="J126" i="3" s="1"/>
  <c r="H125" i="3"/>
  <c r="J125" i="3" s="1"/>
  <c r="H124" i="3"/>
  <c r="J124" i="3" s="1"/>
  <c r="H123" i="3"/>
  <c r="J123" i="3" s="1"/>
  <c r="H122" i="3"/>
  <c r="J122" i="3" s="1"/>
  <c r="H121" i="3"/>
  <c r="J121" i="3" s="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F2" i="3"/>
  <c r="F3" i="3"/>
  <c r="H3" i="3" s="1"/>
  <c r="J3" i="3" s="1"/>
  <c r="F4" i="3"/>
  <c r="H4" i="3" s="1"/>
  <c r="J4" i="3" s="1"/>
  <c r="F5" i="3"/>
  <c r="F6" i="3"/>
  <c r="F7" i="3"/>
  <c r="F8" i="3"/>
  <c r="F9" i="3"/>
  <c r="H9" i="3" s="1"/>
  <c r="J9" i="3" s="1"/>
  <c r="F10" i="3"/>
  <c r="H10" i="3" s="1"/>
  <c r="J10" i="3" s="1"/>
  <c r="F11" i="3"/>
  <c r="H11" i="3" s="1"/>
  <c r="J11" i="3" s="1"/>
  <c r="F12" i="3"/>
  <c r="F13" i="3"/>
  <c r="F14" i="3"/>
  <c r="F15" i="3"/>
  <c r="F16" i="3"/>
  <c r="F17" i="3"/>
  <c r="H17" i="3" s="1"/>
  <c r="J17" i="3" s="1"/>
  <c r="F18" i="3"/>
  <c r="F19" i="3"/>
  <c r="F20" i="3"/>
  <c r="F21" i="3"/>
  <c r="F22" i="3"/>
  <c r="F23" i="3"/>
  <c r="F24" i="3"/>
  <c r="H24" i="3" s="1"/>
  <c r="F25" i="3"/>
  <c r="H25" i="3" s="1"/>
  <c r="J25" i="3" s="1"/>
  <c r="F26" i="3"/>
  <c r="H26" i="3" s="1"/>
  <c r="J26" i="3" s="1"/>
  <c r="F27" i="3"/>
  <c r="H27" i="3" s="1"/>
  <c r="J27" i="3" s="1"/>
  <c r="F28" i="3"/>
  <c r="H28" i="3" s="1"/>
  <c r="J28" i="3" s="1"/>
  <c r="F29" i="3"/>
  <c r="H29" i="3" s="1"/>
  <c r="J29" i="3" s="1"/>
  <c r="F30" i="3"/>
  <c r="H30" i="3" s="1"/>
  <c r="J30" i="3" s="1"/>
  <c r="F31" i="3"/>
  <c r="H31" i="3" s="1"/>
  <c r="F32" i="3"/>
  <c r="F33" i="3"/>
  <c r="H33" i="3" s="1"/>
  <c r="J33" i="3" s="1"/>
  <c r="F34" i="3"/>
  <c r="H34" i="3" s="1"/>
  <c r="J34" i="3" s="1"/>
  <c r="F35" i="3"/>
  <c r="H35" i="3" s="1"/>
  <c r="J35" i="3" s="1"/>
  <c r="F36" i="3"/>
  <c r="H36" i="3" s="1"/>
  <c r="J36" i="3" s="1"/>
  <c r="F37" i="3"/>
  <c r="F38" i="3"/>
  <c r="F39" i="3"/>
  <c r="F40" i="3"/>
  <c r="F41" i="3"/>
  <c r="H41" i="3" s="1"/>
  <c r="J41" i="3" s="1"/>
  <c r="F42" i="3"/>
  <c r="H42" i="3" s="1"/>
  <c r="J42" i="3" s="1"/>
  <c r="F43" i="3"/>
  <c r="F44" i="3"/>
  <c r="F45" i="3"/>
  <c r="F46" i="3"/>
  <c r="F47" i="3"/>
  <c r="F48" i="3"/>
  <c r="F49" i="3"/>
  <c r="H49" i="3" s="1"/>
  <c r="J49" i="3" s="1"/>
  <c r="F50" i="3"/>
  <c r="F51" i="3"/>
  <c r="F52" i="3"/>
  <c r="F53" i="3"/>
  <c r="F54" i="3"/>
  <c r="F55" i="3"/>
  <c r="F56" i="3"/>
  <c r="H56" i="3" s="1"/>
  <c r="F57" i="3"/>
  <c r="H57" i="3" s="1"/>
  <c r="J57" i="3" s="1"/>
  <c r="F58" i="3"/>
  <c r="H58" i="3" s="1"/>
  <c r="J58" i="3" s="1"/>
  <c r="F59" i="3"/>
  <c r="H59" i="3" s="1"/>
  <c r="J59" i="3" s="1"/>
  <c r="F60" i="3"/>
  <c r="H60" i="3" s="1"/>
  <c r="J60" i="3" s="1"/>
  <c r="F61" i="3"/>
  <c r="H61" i="3" s="1"/>
  <c r="J61" i="3" s="1"/>
  <c r="F62" i="3"/>
  <c r="H62" i="3" s="1"/>
  <c r="J62" i="3" s="1"/>
  <c r="F63" i="3"/>
  <c r="H63" i="3" s="1"/>
  <c r="F64" i="3"/>
  <c r="F65" i="3"/>
  <c r="H65" i="3" s="1"/>
  <c r="J65" i="3" s="1"/>
  <c r="F66" i="3"/>
  <c r="H66" i="3" s="1"/>
  <c r="J66" i="3" s="1"/>
  <c r="F67" i="3"/>
  <c r="H67" i="3" s="1"/>
  <c r="J67" i="3" s="1"/>
  <c r="F68" i="3"/>
  <c r="H68" i="3" s="1"/>
  <c r="J68" i="3" s="1"/>
  <c r="F69" i="3"/>
  <c r="F70" i="3"/>
  <c r="F71" i="3"/>
  <c r="F72" i="3"/>
  <c r="F73" i="3"/>
  <c r="H73" i="3" s="1"/>
  <c r="J73" i="3" s="1"/>
  <c r="F74" i="3"/>
  <c r="H74" i="3" s="1"/>
  <c r="J74" i="3" s="1"/>
  <c r="F75" i="3"/>
  <c r="F76" i="3"/>
  <c r="F77" i="3"/>
  <c r="F78" i="3"/>
  <c r="F79" i="3"/>
  <c r="F80" i="3"/>
  <c r="F81" i="3"/>
  <c r="F82" i="3"/>
  <c r="F83" i="3"/>
  <c r="F84" i="3"/>
  <c r="H84" i="3" s="1"/>
  <c r="J84" i="3" s="1"/>
  <c r="F85" i="3"/>
  <c r="H85" i="3" s="1"/>
  <c r="J85" i="3" s="1"/>
  <c r="F86" i="3"/>
  <c r="H86" i="3" s="1"/>
  <c r="J86" i="3" s="1"/>
  <c r="F87" i="3"/>
  <c r="F88" i="3"/>
  <c r="F89" i="3"/>
  <c r="H89" i="3" s="1"/>
  <c r="F90" i="3"/>
  <c r="H90" i="3" s="1"/>
  <c r="J90" i="3" s="1"/>
  <c r="F91" i="3"/>
  <c r="H91" i="3" s="1"/>
  <c r="J91" i="3" s="1"/>
  <c r="F92" i="3"/>
  <c r="H92" i="3" s="1"/>
  <c r="J92" i="3" s="1"/>
  <c r="F93" i="3"/>
  <c r="F94" i="3"/>
  <c r="F95" i="3"/>
  <c r="F96" i="3"/>
  <c r="F97" i="3"/>
  <c r="H97" i="3" s="1"/>
  <c r="F98" i="3"/>
  <c r="H98" i="3" s="1"/>
  <c r="J98" i="3" s="1"/>
  <c r="F99" i="3"/>
  <c r="F100" i="3"/>
  <c r="F101" i="3"/>
  <c r="F102" i="3"/>
  <c r="F103" i="3"/>
  <c r="F104" i="3"/>
  <c r="F105" i="3"/>
  <c r="H105" i="3" s="1"/>
  <c r="J105" i="3" s="1"/>
  <c r="F106" i="3"/>
  <c r="F107" i="3"/>
  <c r="F108" i="3"/>
  <c r="F109" i="3"/>
  <c r="F110" i="3"/>
  <c r="F111" i="3"/>
  <c r="F112" i="3"/>
  <c r="H112" i="3" s="1"/>
  <c r="F113" i="3"/>
  <c r="H113" i="3" s="1"/>
  <c r="F114" i="3"/>
  <c r="H114" i="3" s="1"/>
  <c r="J114" i="3" s="1"/>
  <c r="F115" i="3"/>
  <c r="H115" i="3" s="1"/>
  <c r="J115" i="3" s="1"/>
  <c r="F116" i="3"/>
  <c r="H116" i="3" s="1"/>
  <c r="J116" i="3" s="1"/>
  <c r="F117" i="3"/>
  <c r="H117" i="3" s="1"/>
  <c r="J117" i="3" s="1"/>
  <c r="F118" i="3"/>
  <c r="H118" i="3" s="1"/>
  <c r="J118" i="3" s="1"/>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D2" i="3"/>
  <c r="B3" i="3"/>
  <c r="B4" i="3" s="1"/>
  <c r="C2" i="3"/>
  <c r="E2" i="3" s="1"/>
  <c r="K175" i="2"/>
  <c r="J175" i="2"/>
  <c r="I175" i="2"/>
  <c r="H175" i="2"/>
  <c r="G175" i="2"/>
  <c r="F175" i="2"/>
  <c r="E175" i="2"/>
  <c r="D175" i="2"/>
  <c r="C175" i="2"/>
  <c r="B175" i="2"/>
  <c r="K174" i="2"/>
  <c r="J174" i="2"/>
  <c r="I174" i="2"/>
  <c r="H174" i="2"/>
  <c r="G174" i="2"/>
  <c r="F174" i="2"/>
  <c r="E174" i="2"/>
  <c r="D174" i="2"/>
  <c r="C174" i="2"/>
  <c r="B174" i="2"/>
  <c r="K173" i="2"/>
  <c r="J173" i="2"/>
  <c r="I173" i="2"/>
  <c r="H173" i="2"/>
  <c r="G173" i="2"/>
  <c r="F173" i="2"/>
  <c r="E173" i="2"/>
  <c r="D173" i="2"/>
  <c r="C173" i="2"/>
  <c r="B173" i="2"/>
  <c r="K172" i="2"/>
  <c r="J172" i="2"/>
  <c r="I172" i="2"/>
  <c r="H172" i="2"/>
  <c r="G172" i="2"/>
  <c r="F172" i="2"/>
  <c r="E172" i="2"/>
  <c r="D172" i="2"/>
  <c r="C172" i="2"/>
  <c r="B172" i="2"/>
  <c r="K171" i="2"/>
  <c r="J171" i="2"/>
  <c r="I171" i="2"/>
  <c r="H171" i="2"/>
  <c r="G171" i="2"/>
  <c r="F171" i="2"/>
  <c r="E171" i="2"/>
  <c r="D171" i="2"/>
  <c r="C171" i="2"/>
  <c r="B171" i="2"/>
  <c r="K170" i="2"/>
  <c r="J170" i="2"/>
  <c r="I170" i="2"/>
  <c r="H170" i="2"/>
  <c r="G170" i="2"/>
  <c r="F170" i="2"/>
  <c r="E170" i="2"/>
  <c r="D170" i="2"/>
  <c r="C170" i="2"/>
  <c r="B170" i="2"/>
  <c r="K169" i="2"/>
  <c r="J169" i="2"/>
  <c r="I169" i="2"/>
  <c r="H169" i="2"/>
  <c r="G169" i="2"/>
  <c r="F169" i="2"/>
  <c r="E169" i="2"/>
  <c r="D169" i="2"/>
  <c r="C169" i="2"/>
  <c r="B169" i="2"/>
  <c r="K168" i="2"/>
  <c r="J168" i="2"/>
  <c r="I168" i="2"/>
  <c r="H168" i="2"/>
  <c r="G168" i="2"/>
  <c r="F168" i="2"/>
  <c r="E168" i="2"/>
  <c r="D168" i="2"/>
  <c r="C168" i="2"/>
  <c r="B168" i="2"/>
  <c r="K167" i="2"/>
  <c r="J167" i="2"/>
  <c r="I167" i="2"/>
  <c r="H167" i="2"/>
  <c r="G167" i="2"/>
  <c r="F167" i="2"/>
  <c r="E167" i="2"/>
  <c r="D167" i="2"/>
  <c r="C167" i="2"/>
  <c r="B167" i="2"/>
  <c r="K166" i="2"/>
  <c r="J166" i="2"/>
  <c r="I166" i="2"/>
  <c r="H166" i="2"/>
  <c r="G166" i="2"/>
  <c r="F166" i="2"/>
  <c r="E166" i="2"/>
  <c r="D166" i="2"/>
  <c r="C166" i="2"/>
  <c r="B166" i="2"/>
  <c r="K165" i="2"/>
  <c r="J165" i="2"/>
  <c r="I165" i="2"/>
  <c r="H165" i="2"/>
  <c r="G165" i="2"/>
  <c r="F165" i="2"/>
  <c r="E165" i="2"/>
  <c r="D165" i="2"/>
  <c r="C165" i="2"/>
  <c r="B165" i="2"/>
  <c r="K164" i="2"/>
  <c r="J164" i="2"/>
  <c r="I164" i="2"/>
  <c r="H164" i="2"/>
  <c r="G164" i="2"/>
  <c r="F164" i="2"/>
  <c r="E164" i="2"/>
  <c r="D164" i="2"/>
  <c r="C164" i="2"/>
  <c r="B164" i="2"/>
  <c r="K163" i="2"/>
  <c r="J163" i="2"/>
  <c r="I163" i="2"/>
  <c r="H163" i="2"/>
  <c r="G163" i="2"/>
  <c r="F163" i="2"/>
  <c r="E163" i="2"/>
  <c r="D163" i="2"/>
  <c r="C163" i="2"/>
  <c r="B163" i="2"/>
  <c r="K162" i="2"/>
  <c r="J162" i="2"/>
  <c r="I162" i="2"/>
  <c r="H162" i="2"/>
  <c r="G162" i="2"/>
  <c r="F162" i="2"/>
  <c r="E162" i="2"/>
  <c r="D162" i="2"/>
  <c r="C162" i="2"/>
  <c r="B162" i="2"/>
  <c r="K161" i="2"/>
  <c r="J161" i="2"/>
  <c r="I161" i="2"/>
  <c r="H161" i="2"/>
  <c r="G161" i="2"/>
  <c r="F161" i="2"/>
  <c r="E161" i="2"/>
  <c r="D161" i="2"/>
  <c r="C161" i="2"/>
  <c r="B161" i="2"/>
  <c r="K160" i="2"/>
  <c r="J160" i="2"/>
  <c r="I160" i="2"/>
  <c r="H160" i="2"/>
  <c r="G160" i="2"/>
  <c r="F160" i="2"/>
  <c r="E160" i="2"/>
  <c r="D160" i="2"/>
  <c r="C160" i="2"/>
  <c r="B160" i="2"/>
  <c r="K159" i="2"/>
  <c r="J159" i="2"/>
  <c r="I159" i="2"/>
  <c r="H159" i="2"/>
  <c r="G159" i="2"/>
  <c r="F159" i="2"/>
  <c r="E159" i="2"/>
  <c r="D159" i="2"/>
  <c r="C159" i="2"/>
  <c r="B159" i="2"/>
  <c r="K158" i="2"/>
  <c r="J158" i="2"/>
  <c r="I158" i="2"/>
  <c r="H158" i="2"/>
  <c r="G158" i="2"/>
  <c r="F158" i="2"/>
  <c r="E158" i="2"/>
  <c r="D158" i="2"/>
  <c r="C158" i="2"/>
  <c r="B158" i="2"/>
  <c r="K157" i="2"/>
  <c r="J157" i="2"/>
  <c r="I157" i="2"/>
  <c r="H157" i="2"/>
  <c r="G157" i="2"/>
  <c r="F157" i="2"/>
  <c r="E157" i="2"/>
  <c r="D157" i="2"/>
  <c r="C157" i="2"/>
  <c r="B157" i="2"/>
  <c r="K156" i="2"/>
  <c r="J156" i="2"/>
  <c r="I156" i="2"/>
  <c r="H156" i="2"/>
  <c r="G156" i="2"/>
  <c r="F156" i="2"/>
  <c r="E156" i="2"/>
  <c r="D156" i="2"/>
  <c r="C156" i="2"/>
  <c r="B156" i="2"/>
  <c r="K155" i="2"/>
  <c r="J155" i="2"/>
  <c r="I155" i="2"/>
  <c r="H155" i="2"/>
  <c r="G155" i="2"/>
  <c r="F155" i="2"/>
  <c r="E155" i="2"/>
  <c r="D155" i="2"/>
  <c r="C155" i="2"/>
  <c r="B155" i="2"/>
  <c r="K154" i="2"/>
  <c r="J154" i="2"/>
  <c r="I154" i="2"/>
  <c r="H154" i="2"/>
  <c r="G154" i="2"/>
  <c r="F154" i="2"/>
  <c r="E154" i="2"/>
  <c r="D154" i="2"/>
  <c r="C154" i="2"/>
  <c r="B154" i="2"/>
  <c r="K153" i="2"/>
  <c r="J153" i="2"/>
  <c r="I153" i="2"/>
  <c r="H153" i="2"/>
  <c r="G153" i="2"/>
  <c r="F153" i="2"/>
  <c r="E153" i="2"/>
  <c r="D153" i="2"/>
  <c r="C153" i="2"/>
  <c r="B153" i="2"/>
  <c r="K152" i="2"/>
  <c r="J152" i="2"/>
  <c r="I152" i="2"/>
  <c r="H152" i="2"/>
  <c r="G152" i="2"/>
  <c r="F152" i="2"/>
  <c r="E152" i="2"/>
  <c r="D152" i="2"/>
  <c r="C152" i="2"/>
  <c r="B152" i="2"/>
  <c r="K151" i="2"/>
  <c r="J151" i="2"/>
  <c r="I151" i="2"/>
  <c r="H151" i="2"/>
  <c r="G151" i="2"/>
  <c r="F151" i="2"/>
  <c r="E151" i="2"/>
  <c r="D151" i="2"/>
  <c r="C151" i="2"/>
  <c r="B151" i="2"/>
  <c r="K150" i="2"/>
  <c r="J150" i="2"/>
  <c r="I150" i="2"/>
  <c r="H150" i="2"/>
  <c r="G150" i="2"/>
  <c r="F150" i="2"/>
  <c r="E150" i="2"/>
  <c r="D150" i="2"/>
  <c r="C150" i="2"/>
  <c r="B150" i="2"/>
  <c r="K149" i="2"/>
  <c r="J149" i="2"/>
  <c r="I149" i="2"/>
  <c r="H149" i="2"/>
  <c r="G149" i="2"/>
  <c r="F149" i="2"/>
  <c r="E149" i="2"/>
  <c r="D149" i="2"/>
  <c r="C149" i="2"/>
  <c r="B149" i="2"/>
  <c r="K148" i="2"/>
  <c r="J148" i="2"/>
  <c r="I148" i="2"/>
  <c r="H148" i="2"/>
  <c r="G148" i="2"/>
  <c r="F148" i="2"/>
  <c r="E148" i="2"/>
  <c r="D148" i="2"/>
  <c r="C148" i="2"/>
  <c r="B148" i="2"/>
  <c r="K147" i="2"/>
  <c r="J147" i="2"/>
  <c r="I147" i="2"/>
  <c r="H147" i="2"/>
  <c r="G147" i="2"/>
  <c r="F147" i="2"/>
  <c r="E147" i="2"/>
  <c r="D147" i="2"/>
  <c r="C147" i="2"/>
  <c r="B147" i="2"/>
  <c r="K146" i="2"/>
  <c r="J146" i="2"/>
  <c r="I146" i="2"/>
  <c r="H146" i="2"/>
  <c r="G146" i="2"/>
  <c r="F146" i="2"/>
  <c r="E146" i="2"/>
  <c r="D146" i="2"/>
  <c r="C146" i="2"/>
  <c r="B146" i="2"/>
  <c r="K145" i="2"/>
  <c r="J145" i="2"/>
  <c r="I145" i="2"/>
  <c r="H145" i="2"/>
  <c r="G145" i="2"/>
  <c r="F145" i="2"/>
  <c r="E145" i="2"/>
  <c r="D145" i="2"/>
  <c r="C145" i="2"/>
  <c r="B145" i="2"/>
  <c r="K144" i="2"/>
  <c r="J144" i="2"/>
  <c r="I144" i="2"/>
  <c r="H144" i="2"/>
  <c r="G144" i="2"/>
  <c r="F144" i="2"/>
  <c r="E144" i="2"/>
  <c r="D144" i="2"/>
  <c r="C144" i="2"/>
  <c r="B144" i="2"/>
  <c r="K143" i="2"/>
  <c r="J143" i="2"/>
  <c r="I143" i="2"/>
  <c r="H143" i="2"/>
  <c r="G143" i="2"/>
  <c r="F143" i="2"/>
  <c r="E143" i="2"/>
  <c r="D143" i="2"/>
  <c r="C143" i="2"/>
  <c r="B143" i="2"/>
  <c r="K142" i="2"/>
  <c r="J142" i="2"/>
  <c r="I142" i="2"/>
  <c r="H142" i="2"/>
  <c r="G142" i="2"/>
  <c r="F142" i="2"/>
  <c r="E142" i="2"/>
  <c r="D142" i="2"/>
  <c r="C142" i="2"/>
  <c r="B142" i="2"/>
  <c r="K141" i="2"/>
  <c r="J141" i="2"/>
  <c r="I141" i="2"/>
  <c r="H141" i="2"/>
  <c r="G141" i="2"/>
  <c r="F141" i="2"/>
  <c r="E141" i="2"/>
  <c r="D141" i="2"/>
  <c r="C141" i="2"/>
  <c r="B141" i="2"/>
  <c r="K140" i="2"/>
  <c r="J140" i="2"/>
  <c r="I140" i="2"/>
  <c r="H140" i="2"/>
  <c r="G140" i="2"/>
  <c r="F140" i="2"/>
  <c r="E140" i="2"/>
  <c r="D140" i="2"/>
  <c r="C140" i="2"/>
  <c r="B140" i="2"/>
  <c r="K139" i="2"/>
  <c r="J139" i="2"/>
  <c r="I139" i="2"/>
  <c r="H139" i="2"/>
  <c r="G139" i="2"/>
  <c r="F139" i="2"/>
  <c r="E139" i="2"/>
  <c r="D139" i="2"/>
  <c r="C139" i="2"/>
  <c r="B139" i="2"/>
  <c r="K138" i="2"/>
  <c r="J138" i="2"/>
  <c r="I138" i="2"/>
  <c r="H138" i="2"/>
  <c r="G138" i="2"/>
  <c r="F138" i="2"/>
  <c r="E138" i="2"/>
  <c r="D138" i="2"/>
  <c r="C138" i="2"/>
  <c r="B138" i="2"/>
  <c r="K137" i="2"/>
  <c r="J137" i="2"/>
  <c r="I137" i="2"/>
  <c r="H137" i="2"/>
  <c r="G137" i="2"/>
  <c r="F137" i="2"/>
  <c r="E137" i="2"/>
  <c r="D137" i="2"/>
  <c r="C137" i="2"/>
  <c r="B137" i="2"/>
  <c r="K136" i="2"/>
  <c r="J136" i="2"/>
  <c r="I136" i="2"/>
  <c r="H136" i="2"/>
  <c r="G136" i="2"/>
  <c r="F136" i="2"/>
  <c r="E136" i="2"/>
  <c r="D136" i="2"/>
  <c r="C136" i="2"/>
  <c r="B136" i="2"/>
  <c r="K135" i="2"/>
  <c r="J135" i="2"/>
  <c r="I135" i="2"/>
  <c r="H135" i="2"/>
  <c r="G135" i="2"/>
  <c r="F135" i="2"/>
  <c r="E135" i="2"/>
  <c r="D135" i="2"/>
  <c r="C135" i="2"/>
  <c r="B135" i="2"/>
  <c r="K134" i="2"/>
  <c r="J134" i="2"/>
  <c r="I134" i="2"/>
  <c r="H134" i="2"/>
  <c r="G134" i="2"/>
  <c r="F134" i="2"/>
  <c r="E134" i="2"/>
  <c r="D134" i="2"/>
  <c r="C134" i="2"/>
  <c r="B134" i="2"/>
  <c r="K133" i="2"/>
  <c r="J133" i="2"/>
  <c r="I133" i="2"/>
  <c r="H133" i="2"/>
  <c r="G133" i="2"/>
  <c r="F133" i="2"/>
  <c r="E133" i="2"/>
  <c r="D133" i="2"/>
  <c r="C133" i="2"/>
  <c r="B133" i="2"/>
  <c r="K132" i="2"/>
  <c r="J132" i="2"/>
  <c r="I132" i="2"/>
  <c r="H132" i="2"/>
  <c r="G132" i="2"/>
  <c r="F132" i="2"/>
  <c r="E132" i="2"/>
  <c r="D132" i="2"/>
  <c r="C132" i="2"/>
  <c r="B132" i="2"/>
  <c r="K131" i="2"/>
  <c r="J131" i="2"/>
  <c r="I131" i="2"/>
  <c r="H131" i="2"/>
  <c r="G131" i="2"/>
  <c r="F131" i="2"/>
  <c r="E131" i="2"/>
  <c r="D131" i="2"/>
  <c r="C131" i="2"/>
  <c r="B131" i="2"/>
  <c r="K130" i="2"/>
  <c r="J130" i="2"/>
  <c r="I130" i="2"/>
  <c r="H130" i="2"/>
  <c r="G130" i="2"/>
  <c r="F130" i="2"/>
  <c r="E130" i="2"/>
  <c r="D130" i="2"/>
  <c r="C130" i="2"/>
  <c r="B130" i="2"/>
  <c r="K129" i="2"/>
  <c r="J129" i="2"/>
  <c r="I129" i="2"/>
  <c r="H129" i="2"/>
  <c r="G129" i="2"/>
  <c r="F129" i="2"/>
  <c r="E129" i="2"/>
  <c r="D129" i="2"/>
  <c r="C129" i="2"/>
  <c r="B129" i="2"/>
  <c r="K128" i="2"/>
  <c r="J128" i="2"/>
  <c r="I128" i="2"/>
  <c r="H128" i="2"/>
  <c r="G128" i="2"/>
  <c r="F128" i="2"/>
  <c r="E128" i="2"/>
  <c r="D128" i="2"/>
  <c r="C128" i="2"/>
  <c r="B128" i="2"/>
  <c r="K127" i="2"/>
  <c r="J127" i="2"/>
  <c r="I127" i="2"/>
  <c r="H127" i="2"/>
  <c r="G127" i="2"/>
  <c r="F127" i="2"/>
  <c r="E127" i="2"/>
  <c r="D127" i="2"/>
  <c r="C127" i="2"/>
  <c r="B127" i="2"/>
  <c r="K126" i="2"/>
  <c r="J126" i="2"/>
  <c r="I126" i="2"/>
  <c r="H126" i="2"/>
  <c r="G126" i="2"/>
  <c r="F126" i="2"/>
  <c r="E126" i="2"/>
  <c r="D126" i="2"/>
  <c r="C126" i="2"/>
  <c r="B126" i="2"/>
  <c r="K125" i="2"/>
  <c r="J125" i="2"/>
  <c r="I125" i="2"/>
  <c r="H125" i="2"/>
  <c r="G125" i="2"/>
  <c r="F125" i="2"/>
  <c r="E125" i="2"/>
  <c r="D125" i="2"/>
  <c r="C125" i="2"/>
  <c r="B125" i="2"/>
  <c r="K124" i="2"/>
  <c r="J124" i="2"/>
  <c r="I124" i="2"/>
  <c r="H124" i="2"/>
  <c r="G124" i="2"/>
  <c r="F124" i="2"/>
  <c r="E124" i="2"/>
  <c r="D124" i="2"/>
  <c r="C124" i="2"/>
  <c r="B124" i="2"/>
  <c r="K123" i="2"/>
  <c r="J123" i="2"/>
  <c r="I123" i="2"/>
  <c r="H123" i="2"/>
  <c r="G123" i="2"/>
  <c r="F123" i="2"/>
  <c r="E123" i="2"/>
  <c r="D123" i="2"/>
  <c r="C123" i="2"/>
  <c r="B123" i="2"/>
  <c r="K122" i="2"/>
  <c r="J122" i="2"/>
  <c r="I122" i="2"/>
  <c r="H122" i="2"/>
  <c r="G122" i="2"/>
  <c r="F122" i="2"/>
  <c r="E122" i="2"/>
  <c r="D122" i="2"/>
  <c r="C122" i="2"/>
  <c r="B122" i="2"/>
  <c r="K121" i="2"/>
  <c r="J121" i="2"/>
  <c r="I121" i="2"/>
  <c r="H121" i="2"/>
  <c r="G121" i="2"/>
  <c r="F121" i="2"/>
  <c r="E121" i="2"/>
  <c r="D121" i="2"/>
  <c r="C121" i="2"/>
  <c r="B121" i="2"/>
  <c r="K120" i="2"/>
  <c r="J120" i="2"/>
  <c r="I120" i="2"/>
  <c r="H120" i="2"/>
  <c r="G120" i="2"/>
  <c r="F120" i="2"/>
  <c r="E120" i="2"/>
  <c r="D120" i="2"/>
  <c r="C120" i="2"/>
  <c r="B120" i="2"/>
  <c r="K119" i="2"/>
  <c r="J119" i="2"/>
  <c r="I119" i="2"/>
  <c r="H119" i="2"/>
  <c r="G119" i="2"/>
  <c r="F119" i="2"/>
  <c r="E119" i="2"/>
  <c r="D119" i="2"/>
  <c r="C119" i="2"/>
  <c r="B119" i="2"/>
  <c r="K118" i="2"/>
  <c r="J118" i="2"/>
  <c r="I118" i="2"/>
  <c r="H118" i="2"/>
  <c r="G118" i="2"/>
  <c r="F118" i="2"/>
  <c r="E118" i="2"/>
  <c r="D118" i="2"/>
  <c r="C118" i="2"/>
  <c r="B118" i="2"/>
  <c r="K117" i="2"/>
  <c r="J117" i="2"/>
  <c r="I117" i="2"/>
  <c r="H117" i="2"/>
  <c r="G117" i="2"/>
  <c r="F117" i="2"/>
  <c r="E117" i="2"/>
  <c r="D117" i="2"/>
  <c r="C117" i="2"/>
  <c r="B117" i="2"/>
  <c r="K116" i="2"/>
  <c r="J116" i="2"/>
  <c r="I116" i="2"/>
  <c r="H116" i="2"/>
  <c r="G116" i="2"/>
  <c r="F116" i="2"/>
  <c r="E116" i="2"/>
  <c r="D116" i="2"/>
  <c r="C116" i="2"/>
  <c r="B116" i="2"/>
  <c r="K115" i="2"/>
  <c r="J115" i="2"/>
  <c r="I115" i="2"/>
  <c r="H115" i="2"/>
  <c r="G115" i="2"/>
  <c r="F115" i="2"/>
  <c r="E115" i="2"/>
  <c r="D115" i="2"/>
  <c r="C115" i="2"/>
  <c r="B115" i="2"/>
  <c r="K114" i="2"/>
  <c r="J114" i="2"/>
  <c r="I114" i="2"/>
  <c r="H114" i="2"/>
  <c r="G114" i="2"/>
  <c r="F114" i="2"/>
  <c r="E114" i="2"/>
  <c r="D114" i="2"/>
  <c r="C114" i="2"/>
  <c r="B114" i="2"/>
  <c r="K113" i="2"/>
  <c r="J113" i="2"/>
  <c r="I113" i="2"/>
  <c r="H113" i="2"/>
  <c r="G113" i="2"/>
  <c r="F113" i="2"/>
  <c r="E113" i="2"/>
  <c r="D113" i="2"/>
  <c r="C113" i="2"/>
  <c r="B113" i="2"/>
  <c r="K112" i="2"/>
  <c r="J112" i="2"/>
  <c r="I112" i="2"/>
  <c r="H112" i="2"/>
  <c r="G112" i="2"/>
  <c r="F112" i="2"/>
  <c r="E112" i="2"/>
  <c r="D112" i="2"/>
  <c r="C112" i="2"/>
  <c r="B112" i="2"/>
  <c r="K111" i="2"/>
  <c r="J111" i="2"/>
  <c r="I111" i="2"/>
  <c r="H111" i="2"/>
  <c r="G111" i="2"/>
  <c r="F111" i="2"/>
  <c r="E111" i="2"/>
  <c r="D111" i="2"/>
  <c r="C111" i="2"/>
  <c r="B111" i="2"/>
  <c r="K110" i="2"/>
  <c r="J110" i="2"/>
  <c r="I110" i="2"/>
  <c r="H110" i="2"/>
  <c r="G110" i="2"/>
  <c r="F110" i="2"/>
  <c r="E110" i="2"/>
  <c r="D110" i="2"/>
  <c r="C110" i="2"/>
  <c r="B110" i="2"/>
  <c r="K109" i="2"/>
  <c r="J109" i="2"/>
  <c r="I109" i="2"/>
  <c r="H109" i="2"/>
  <c r="G109" i="2"/>
  <c r="F109" i="2"/>
  <c r="E109" i="2"/>
  <c r="D109" i="2"/>
  <c r="C109" i="2"/>
  <c r="B109" i="2"/>
  <c r="K108" i="2"/>
  <c r="J108" i="2"/>
  <c r="I108" i="2"/>
  <c r="H108" i="2"/>
  <c r="G108" i="2"/>
  <c r="F108" i="2"/>
  <c r="E108" i="2"/>
  <c r="D108" i="2"/>
  <c r="C108" i="2"/>
  <c r="B108" i="2"/>
  <c r="K107" i="2"/>
  <c r="J107" i="2"/>
  <c r="I107" i="2"/>
  <c r="H107" i="2"/>
  <c r="G107" i="2"/>
  <c r="F107" i="2"/>
  <c r="E107" i="2"/>
  <c r="D107" i="2"/>
  <c r="C107" i="2"/>
  <c r="B107" i="2"/>
  <c r="K106" i="2"/>
  <c r="J106" i="2"/>
  <c r="I106" i="2"/>
  <c r="H106" i="2"/>
  <c r="G106" i="2"/>
  <c r="F106" i="2"/>
  <c r="E106" i="2"/>
  <c r="D106" i="2"/>
  <c r="C106" i="2"/>
  <c r="B106" i="2"/>
  <c r="K105" i="2"/>
  <c r="J105" i="2"/>
  <c r="I105" i="2"/>
  <c r="H105" i="2"/>
  <c r="G105" i="2"/>
  <c r="F105" i="2"/>
  <c r="E105" i="2"/>
  <c r="D105" i="2"/>
  <c r="C105" i="2"/>
  <c r="B105" i="2"/>
  <c r="K104" i="2"/>
  <c r="J104" i="2"/>
  <c r="I104" i="2"/>
  <c r="H104" i="2"/>
  <c r="G104" i="2"/>
  <c r="F104" i="2"/>
  <c r="E104" i="2"/>
  <c r="D104" i="2"/>
  <c r="C104" i="2"/>
  <c r="B104" i="2"/>
  <c r="K103" i="2"/>
  <c r="J103" i="2"/>
  <c r="I103" i="2"/>
  <c r="H103" i="2"/>
  <c r="G103" i="2"/>
  <c r="F103" i="2"/>
  <c r="E103" i="2"/>
  <c r="D103" i="2"/>
  <c r="C103" i="2"/>
  <c r="B103" i="2"/>
  <c r="K102" i="2"/>
  <c r="J102" i="2"/>
  <c r="I102" i="2"/>
  <c r="H102" i="2"/>
  <c r="G102" i="2"/>
  <c r="F102" i="2"/>
  <c r="E102" i="2"/>
  <c r="D102" i="2"/>
  <c r="C102" i="2"/>
  <c r="B102" i="2"/>
  <c r="K101" i="2"/>
  <c r="J101" i="2"/>
  <c r="I101" i="2"/>
  <c r="H101" i="2"/>
  <c r="G101" i="2"/>
  <c r="F101" i="2"/>
  <c r="E101" i="2"/>
  <c r="D101" i="2"/>
  <c r="C101" i="2"/>
  <c r="B101" i="2"/>
  <c r="K100" i="2"/>
  <c r="J100" i="2"/>
  <c r="I100" i="2"/>
  <c r="H100" i="2"/>
  <c r="G100" i="2"/>
  <c r="F100" i="2"/>
  <c r="E100" i="2"/>
  <c r="D100" i="2"/>
  <c r="C100" i="2"/>
  <c r="B100" i="2"/>
  <c r="K99" i="2"/>
  <c r="J99" i="2"/>
  <c r="I99" i="2"/>
  <c r="H99" i="2"/>
  <c r="G99" i="2"/>
  <c r="F99" i="2"/>
  <c r="E99" i="2"/>
  <c r="D99" i="2"/>
  <c r="C99" i="2"/>
  <c r="B99" i="2"/>
  <c r="K98" i="2"/>
  <c r="J98" i="2"/>
  <c r="I98" i="2"/>
  <c r="H98" i="2"/>
  <c r="G98" i="2"/>
  <c r="F98" i="2"/>
  <c r="E98" i="2"/>
  <c r="D98" i="2"/>
  <c r="C98" i="2"/>
  <c r="B98" i="2"/>
  <c r="K97" i="2"/>
  <c r="J97" i="2"/>
  <c r="I97" i="2"/>
  <c r="H97" i="2"/>
  <c r="G97" i="2"/>
  <c r="F97" i="2"/>
  <c r="E97" i="2"/>
  <c r="D97" i="2"/>
  <c r="C97" i="2"/>
  <c r="B97" i="2"/>
  <c r="K96" i="2"/>
  <c r="J96" i="2"/>
  <c r="I96" i="2"/>
  <c r="H96" i="2"/>
  <c r="G96" i="2"/>
  <c r="F96" i="2"/>
  <c r="E96" i="2"/>
  <c r="D96" i="2"/>
  <c r="C96" i="2"/>
  <c r="B96" i="2"/>
  <c r="K95" i="2"/>
  <c r="J95" i="2"/>
  <c r="I95" i="2"/>
  <c r="H95" i="2"/>
  <c r="G95" i="2"/>
  <c r="F95" i="2"/>
  <c r="E95" i="2"/>
  <c r="D95" i="2"/>
  <c r="C95" i="2"/>
  <c r="B95" i="2"/>
  <c r="K94" i="2"/>
  <c r="J94" i="2"/>
  <c r="I94" i="2"/>
  <c r="H94" i="2"/>
  <c r="G94" i="2"/>
  <c r="F94" i="2"/>
  <c r="E94" i="2"/>
  <c r="D94" i="2"/>
  <c r="C94" i="2"/>
  <c r="B94" i="2"/>
  <c r="K93" i="2"/>
  <c r="J93" i="2"/>
  <c r="I93" i="2"/>
  <c r="H93" i="2"/>
  <c r="G93" i="2"/>
  <c r="F93" i="2"/>
  <c r="E93" i="2"/>
  <c r="D93" i="2"/>
  <c r="C93" i="2"/>
  <c r="B93" i="2"/>
  <c r="K92" i="2"/>
  <c r="J92" i="2"/>
  <c r="I92" i="2"/>
  <c r="H92" i="2"/>
  <c r="G92" i="2"/>
  <c r="F92" i="2"/>
  <c r="E92" i="2"/>
  <c r="D92" i="2"/>
  <c r="C92" i="2"/>
  <c r="B92" i="2"/>
  <c r="K91" i="2"/>
  <c r="J91" i="2"/>
  <c r="I91" i="2"/>
  <c r="H91" i="2"/>
  <c r="G91" i="2"/>
  <c r="F91" i="2"/>
  <c r="E91" i="2"/>
  <c r="D91" i="2"/>
  <c r="C91" i="2"/>
  <c r="B91" i="2"/>
  <c r="K90" i="2"/>
  <c r="J90" i="2"/>
  <c r="I90" i="2"/>
  <c r="H90" i="2"/>
  <c r="G90" i="2"/>
  <c r="F90" i="2"/>
  <c r="E90" i="2"/>
  <c r="D90" i="2"/>
  <c r="C90" i="2"/>
  <c r="B90" i="2"/>
  <c r="K89" i="2"/>
  <c r="J89" i="2"/>
  <c r="I89" i="2"/>
  <c r="H89" i="2"/>
  <c r="G89" i="2"/>
  <c r="F89" i="2"/>
  <c r="E89" i="2"/>
  <c r="D89" i="2"/>
  <c r="C89" i="2"/>
  <c r="B89" i="2"/>
  <c r="K88" i="2"/>
  <c r="J88" i="2"/>
  <c r="I88" i="2"/>
  <c r="H88" i="2"/>
  <c r="G88" i="2"/>
  <c r="F88" i="2"/>
  <c r="E88" i="2"/>
  <c r="D88" i="2"/>
  <c r="C88" i="2"/>
  <c r="B88" i="2"/>
  <c r="K87" i="2"/>
  <c r="J87" i="2"/>
  <c r="I87" i="2"/>
  <c r="H87" i="2"/>
  <c r="G87" i="2"/>
  <c r="F87" i="2"/>
  <c r="E87" i="2"/>
  <c r="D87" i="2"/>
  <c r="C87" i="2"/>
  <c r="B87" i="2"/>
  <c r="K86" i="2"/>
  <c r="J86" i="2"/>
  <c r="I86" i="2"/>
  <c r="H86" i="2"/>
  <c r="G86" i="2"/>
  <c r="F86" i="2"/>
  <c r="E86" i="2"/>
  <c r="D86" i="2"/>
  <c r="C86" i="2"/>
  <c r="B86" i="2"/>
  <c r="K85" i="2"/>
  <c r="J85" i="2"/>
  <c r="I85" i="2"/>
  <c r="H85" i="2"/>
  <c r="G85" i="2"/>
  <c r="F85" i="2"/>
  <c r="E85" i="2"/>
  <c r="D85" i="2"/>
  <c r="C85" i="2"/>
  <c r="B85" i="2"/>
  <c r="K84" i="2"/>
  <c r="J84" i="2"/>
  <c r="I84" i="2"/>
  <c r="H84" i="2"/>
  <c r="G84" i="2"/>
  <c r="F84" i="2"/>
  <c r="E84" i="2"/>
  <c r="D84" i="2"/>
  <c r="C84" i="2"/>
  <c r="B84" i="2"/>
  <c r="K83" i="2"/>
  <c r="J83" i="2"/>
  <c r="I83" i="2"/>
  <c r="H83" i="2"/>
  <c r="G83" i="2"/>
  <c r="F83" i="2"/>
  <c r="E83" i="2"/>
  <c r="D83" i="2"/>
  <c r="C83" i="2"/>
  <c r="B83" i="2"/>
  <c r="K82" i="2"/>
  <c r="J82" i="2"/>
  <c r="I82" i="2"/>
  <c r="H82" i="2"/>
  <c r="G82" i="2"/>
  <c r="F82" i="2"/>
  <c r="E82" i="2"/>
  <c r="D82" i="2"/>
  <c r="C82" i="2"/>
  <c r="B82" i="2"/>
  <c r="K81" i="2"/>
  <c r="J81" i="2"/>
  <c r="I81" i="2"/>
  <c r="H81" i="2"/>
  <c r="G81" i="2"/>
  <c r="F81" i="2"/>
  <c r="E81" i="2"/>
  <c r="D81" i="2"/>
  <c r="C81" i="2"/>
  <c r="B81" i="2"/>
  <c r="K80" i="2"/>
  <c r="J80" i="2"/>
  <c r="I80" i="2"/>
  <c r="H80" i="2"/>
  <c r="G80" i="2"/>
  <c r="F80" i="2"/>
  <c r="E80" i="2"/>
  <c r="D80" i="2"/>
  <c r="C80" i="2"/>
  <c r="B80" i="2"/>
  <c r="K79" i="2"/>
  <c r="J79" i="2"/>
  <c r="I79" i="2"/>
  <c r="H79" i="2"/>
  <c r="G79" i="2"/>
  <c r="F79" i="2"/>
  <c r="E79" i="2"/>
  <c r="D79" i="2"/>
  <c r="C79" i="2"/>
  <c r="B79" i="2"/>
  <c r="K78" i="2"/>
  <c r="J78" i="2"/>
  <c r="I78" i="2"/>
  <c r="H78" i="2"/>
  <c r="G78" i="2"/>
  <c r="F78" i="2"/>
  <c r="E78" i="2"/>
  <c r="D78" i="2"/>
  <c r="C78" i="2"/>
  <c r="B78" i="2"/>
  <c r="K77" i="2"/>
  <c r="J77" i="2"/>
  <c r="I77" i="2"/>
  <c r="H77" i="2"/>
  <c r="G77" i="2"/>
  <c r="F77" i="2"/>
  <c r="E77" i="2"/>
  <c r="D77" i="2"/>
  <c r="C77" i="2"/>
  <c r="B77" i="2"/>
  <c r="K76" i="2"/>
  <c r="J76" i="2"/>
  <c r="I76" i="2"/>
  <c r="H76" i="2"/>
  <c r="G76" i="2"/>
  <c r="F76" i="2"/>
  <c r="E76" i="2"/>
  <c r="D76" i="2"/>
  <c r="C76" i="2"/>
  <c r="B76" i="2"/>
  <c r="K75" i="2"/>
  <c r="J75" i="2"/>
  <c r="I75" i="2"/>
  <c r="H75" i="2"/>
  <c r="G75" i="2"/>
  <c r="F75" i="2"/>
  <c r="E75" i="2"/>
  <c r="D75" i="2"/>
  <c r="C75" i="2"/>
  <c r="B75" i="2"/>
  <c r="K74" i="2"/>
  <c r="J74" i="2"/>
  <c r="I74" i="2"/>
  <c r="H74" i="2"/>
  <c r="G74" i="2"/>
  <c r="F74" i="2"/>
  <c r="E74" i="2"/>
  <c r="D74" i="2"/>
  <c r="C74" i="2"/>
  <c r="B74" i="2"/>
  <c r="K73" i="2"/>
  <c r="J73" i="2"/>
  <c r="I73" i="2"/>
  <c r="H73" i="2"/>
  <c r="G73" i="2"/>
  <c r="F73" i="2"/>
  <c r="E73" i="2"/>
  <c r="D73" i="2"/>
  <c r="C73" i="2"/>
  <c r="B73" i="2"/>
  <c r="K72" i="2"/>
  <c r="J72" i="2"/>
  <c r="I72" i="2"/>
  <c r="H72" i="2"/>
  <c r="G72" i="2"/>
  <c r="F72" i="2"/>
  <c r="E72" i="2"/>
  <c r="D72" i="2"/>
  <c r="C72" i="2"/>
  <c r="B72" i="2"/>
  <c r="K71" i="2"/>
  <c r="J71" i="2"/>
  <c r="I71" i="2"/>
  <c r="H71" i="2"/>
  <c r="G71" i="2"/>
  <c r="F71" i="2"/>
  <c r="E71" i="2"/>
  <c r="D71" i="2"/>
  <c r="C71" i="2"/>
  <c r="B71" i="2"/>
  <c r="K70" i="2"/>
  <c r="J70" i="2"/>
  <c r="I70" i="2"/>
  <c r="H70" i="2"/>
  <c r="G70" i="2"/>
  <c r="F70" i="2"/>
  <c r="E70" i="2"/>
  <c r="D70" i="2"/>
  <c r="C70" i="2"/>
  <c r="B70" i="2"/>
  <c r="K69" i="2"/>
  <c r="J69" i="2"/>
  <c r="I69" i="2"/>
  <c r="H69" i="2"/>
  <c r="G69" i="2"/>
  <c r="F69" i="2"/>
  <c r="E69" i="2"/>
  <c r="D69" i="2"/>
  <c r="C69" i="2"/>
  <c r="B69" i="2"/>
  <c r="K68" i="2"/>
  <c r="J68" i="2"/>
  <c r="I68" i="2"/>
  <c r="H68" i="2"/>
  <c r="G68" i="2"/>
  <c r="F68" i="2"/>
  <c r="E68" i="2"/>
  <c r="D68" i="2"/>
  <c r="C68" i="2"/>
  <c r="B68" i="2"/>
  <c r="K67" i="2"/>
  <c r="J67" i="2"/>
  <c r="I67" i="2"/>
  <c r="H67" i="2"/>
  <c r="G67" i="2"/>
  <c r="F67" i="2"/>
  <c r="E67" i="2"/>
  <c r="D67" i="2"/>
  <c r="C67" i="2"/>
  <c r="B67" i="2"/>
  <c r="K66" i="2"/>
  <c r="J66" i="2"/>
  <c r="I66" i="2"/>
  <c r="H66" i="2"/>
  <c r="G66" i="2"/>
  <c r="F66" i="2"/>
  <c r="E66" i="2"/>
  <c r="D66" i="2"/>
  <c r="C66" i="2"/>
  <c r="B66" i="2"/>
  <c r="K65" i="2"/>
  <c r="J65" i="2"/>
  <c r="I65" i="2"/>
  <c r="H65" i="2"/>
  <c r="G65" i="2"/>
  <c r="F65" i="2"/>
  <c r="E65" i="2"/>
  <c r="D65" i="2"/>
  <c r="C65" i="2"/>
  <c r="B65" i="2"/>
  <c r="K64" i="2"/>
  <c r="J64" i="2"/>
  <c r="I64" i="2"/>
  <c r="H64" i="2"/>
  <c r="G64" i="2"/>
  <c r="F64" i="2"/>
  <c r="E64" i="2"/>
  <c r="D64" i="2"/>
  <c r="C64" i="2"/>
  <c r="B64" i="2"/>
  <c r="K63" i="2"/>
  <c r="J63" i="2"/>
  <c r="I63" i="2"/>
  <c r="H63" i="2"/>
  <c r="G63" i="2"/>
  <c r="F63" i="2"/>
  <c r="E63" i="2"/>
  <c r="D63" i="2"/>
  <c r="C63" i="2"/>
  <c r="B63" i="2"/>
  <c r="K62" i="2"/>
  <c r="J62" i="2"/>
  <c r="I62" i="2"/>
  <c r="H62" i="2"/>
  <c r="G62" i="2"/>
  <c r="F62" i="2"/>
  <c r="E62" i="2"/>
  <c r="D62" i="2"/>
  <c r="C62" i="2"/>
  <c r="B62" i="2"/>
  <c r="K61" i="2"/>
  <c r="J61" i="2"/>
  <c r="I61" i="2"/>
  <c r="H61" i="2"/>
  <c r="G61" i="2"/>
  <c r="F61" i="2"/>
  <c r="E61" i="2"/>
  <c r="D61" i="2"/>
  <c r="C61" i="2"/>
  <c r="B61" i="2"/>
  <c r="K60" i="2"/>
  <c r="J60" i="2"/>
  <c r="I60" i="2"/>
  <c r="H60" i="2"/>
  <c r="G60" i="2"/>
  <c r="F60" i="2"/>
  <c r="E60" i="2"/>
  <c r="D60" i="2"/>
  <c r="C60" i="2"/>
  <c r="B60" i="2"/>
  <c r="K59" i="2"/>
  <c r="J59" i="2"/>
  <c r="I59" i="2"/>
  <c r="H59" i="2"/>
  <c r="G59" i="2"/>
  <c r="F59" i="2"/>
  <c r="E59" i="2"/>
  <c r="D59" i="2"/>
  <c r="C59" i="2"/>
  <c r="B59" i="2"/>
  <c r="K58" i="2"/>
  <c r="J58" i="2"/>
  <c r="I58" i="2"/>
  <c r="H58" i="2"/>
  <c r="G58" i="2"/>
  <c r="F58" i="2"/>
  <c r="E58" i="2"/>
  <c r="D58" i="2"/>
  <c r="C58" i="2"/>
  <c r="B58" i="2"/>
  <c r="K57" i="2"/>
  <c r="J57" i="2"/>
  <c r="I57" i="2"/>
  <c r="H57" i="2"/>
  <c r="G57" i="2"/>
  <c r="F57" i="2"/>
  <c r="E57" i="2"/>
  <c r="D57" i="2"/>
  <c r="C57" i="2"/>
  <c r="B57" i="2"/>
  <c r="K56" i="2"/>
  <c r="J56" i="2"/>
  <c r="I56" i="2"/>
  <c r="H56" i="2"/>
  <c r="G56" i="2"/>
  <c r="F56" i="2"/>
  <c r="E56" i="2"/>
  <c r="D56" i="2"/>
  <c r="C56" i="2"/>
  <c r="B56" i="2"/>
  <c r="K55" i="2"/>
  <c r="J55" i="2"/>
  <c r="I55" i="2"/>
  <c r="H55" i="2"/>
  <c r="G55" i="2"/>
  <c r="F55" i="2"/>
  <c r="E55" i="2"/>
  <c r="D55" i="2"/>
  <c r="C55" i="2"/>
  <c r="B55" i="2"/>
  <c r="K54" i="2"/>
  <c r="J54" i="2"/>
  <c r="I54" i="2"/>
  <c r="H54" i="2"/>
  <c r="G54" i="2"/>
  <c r="F54" i="2"/>
  <c r="E54" i="2"/>
  <c r="D54" i="2"/>
  <c r="C54" i="2"/>
  <c r="B54" i="2"/>
  <c r="K53" i="2"/>
  <c r="J53" i="2"/>
  <c r="I53" i="2"/>
  <c r="H53" i="2"/>
  <c r="G53" i="2"/>
  <c r="F53" i="2"/>
  <c r="E53" i="2"/>
  <c r="D53" i="2"/>
  <c r="C53" i="2"/>
  <c r="B53" i="2"/>
  <c r="K52" i="2"/>
  <c r="J52" i="2"/>
  <c r="I52" i="2"/>
  <c r="H52" i="2"/>
  <c r="G52" i="2"/>
  <c r="F52" i="2"/>
  <c r="E52" i="2"/>
  <c r="D52" i="2"/>
  <c r="C52" i="2"/>
  <c r="B52" i="2"/>
  <c r="K51" i="2"/>
  <c r="J51" i="2"/>
  <c r="I51" i="2"/>
  <c r="H51" i="2"/>
  <c r="G51" i="2"/>
  <c r="F51" i="2"/>
  <c r="E51" i="2"/>
  <c r="D51" i="2"/>
  <c r="C51" i="2"/>
  <c r="B51" i="2"/>
  <c r="K50" i="2"/>
  <c r="J50" i="2"/>
  <c r="I50" i="2"/>
  <c r="H50" i="2"/>
  <c r="G50" i="2"/>
  <c r="F50" i="2"/>
  <c r="E50" i="2"/>
  <c r="D50" i="2"/>
  <c r="C50" i="2"/>
  <c r="B50" i="2"/>
  <c r="K49" i="2"/>
  <c r="J49" i="2"/>
  <c r="I49" i="2"/>
  <c r="H49" i="2"/>
  <c r="G49" i="2"/>
  <c r="F49" i="2"/>
  <c r="E49" i="2"/>
  <c r="D49" i="2"/>
  <c r="C49" i="2"/>
  <c r="B49" i="2"/>
  <c r="K48" i="2"/>
  <c r="J48" i="2"/>
  <c r="I48" i="2"/>
  <c r="H48" i="2"/>
  <c r="G48" i="2"/>
  <c r="F48" i="2"/>
  <c r="E48" i="2"/>
  <c r="D48" i="2"/>
  <c r="C48" i="2"/>
  <c r="B48" i="2"/>
  <c r="K47" i="2"/>
  <c r="J47" i="2"/>
  <c r="I47" i="2"/>
  <c r="H47" i="2"/>
  <c r="G47" i="2"/>
  <c r="F47" i="2"/>
  <c r="E47" i="2"/>
  <c r="D47" i="2"/>
  <c r="C47" i="2"/>
  <c r="B47" i="2"/>
  <c r="K46" i="2"/>
  <c r="J46" i="2"/>
  <c r="I46" i="2"/>
  <c r="H46" i="2"/>
  <c r="G46" i="2"/>
  <c r="F46" i="2"/>
  <c r="E46" i="2"/>
  <c r="D46" i="2"/>
  <c r="C46" i="2"/>
  <c r="B46" i="2"/>
  <c r="K45" i="2"/>
  <c r="J45" i="2"/>
  <c r="I45" i="2"/>
  <c r="H45" i="2"/>
  <c r="G45" i="2"/>
  <c r="F45" i="2"/>
  <c r="E45" i="2"/>
  <c r="D45" i="2"/>
  <c r="C45" i="2"/>
  <c r="B45" i="2"/>
  <c r="K44" i="2"/>
  <c r="J44" i="2"/>
  <c r="I44" i="2"/>
  <c r="H44" i="2"/>
  <c r="G44" i="2"/>
  <c r="F44" i="2"/>
  <c r="E44" i="2"/>
  <c r="D44" i="2"/>
  <c r="C44" i="2"/>
  <c r="B44" i="2"/>
  <c r="K43" i="2"/>
  <c r="J43" i="2"/>
  <c r="I43" i="2"/>
  <c r="H43" i="2"/>
  <c r="G43" i="2"/>
  <c r="F43" i="2"/>
  <c r="E43" i="2"/>
  <c r="D43" i="2"/>
  <c r="C43" i="2"/>
  <c r="B43" i="2"/>
  <c r="K42" i="2"/>
  <c r="J42" i="2"/>
  <c r="I42" i="2"/>
  <c r="H42" i="2"/>
  <c r="G42" i="2"/>
  <c r="F42" i="2"/>
  <c r="E42" i="2"/>
  <c r="D42" i="2"/>
  <c r="C42" i="2"/>
  <c r="B42" i="2"/>
  <c r="K41" i="2"/>
  <c r="J41" i="2"/>
  <c r="I41" i="2"/>
  <c r="H41" i="2"/>
  <c r="G41" i="2"/>
  <c r="F41" i="2"/>
  <c r="E41" i="2"/>
  <c r="D41" i="2"/>
  <c r="C41" i="2"/>
  <c r="B41" i="2"/>
  <c r="K40" i="2"/>
  <c r="J40" i="2"/>
  <c r="I40" i="2"/>
  <c r="H40" i="2"/>
  <c r="G40" i="2"/>
  <c r="F40" i="2"/>
  <c r="E40" i="2"/>
  <c r="D40" i="2"/>
  <c r="C40" i="2"/>
  <c r="B40" i="2"/>
  <c r="K39" i="2"/>
  <c r="J39" i="2"/>
  <c r="I39" i="2"/>
  <c r="H39" i="2"/>
  <c r="G39" i="2"/>
  <c r="F39" i="2"/>
  <c r="E39" i="2"/>
  <c r="D39" i="2"/>
  <c r="C39" i="2"/>
  <c r="B39" i="2"/>
  <c r="K38" i="2"/>
  <c r="J38" i="2"/>
  <c r="I38" i="2"/>
  <c r="H38" i="2"/>
  <c r="G38" i="2"/>
  <c r="F38" i="2"/>
  <c r="E38" i="2"/>
  <c r="D38" i="2"/>
  <c r="C38" i="2"/>
  <c r="B38" i="2"/>
  <c r="K37" i="2"/>
  <c r="J37" i="2"/>
  <c r="I37" i="2"/>
  <c r="H37" i="2"/>
  <c r="G37" i="2"/>
  <c r="F37" i="2"/>
  <c r="E37" i="2"/>
  <c r="D37" i="2"/>
  <c r="C37" i="2"/>
  <c r="B37" i="2"/>
  <c r="K36" i="2"/>
  <c r="J36" i="2"/>
  <c r="I36" i="2"/>
  <c r="H36" i="2"/>
  <c r="G36" i="2"/>
  <c r="F36" i="2"/>
  <c r="E36" i="2"/>
  <c r="D36" i="2"/>
  <c r="C36" i="2"/>
  <c r="B36" i="2"/>
  <c r="K35" i="2"/>
  <c r="J35" i="2"/>
  <c r="I35" i="2"/>
  <c r="H35" i="2"/>
  <c r="G35" i="2"/>
  <c r="F35" i="2"/>
  <c r="E35" i="2"/>
  <c r="D35" i="2"/>
  <c r="C35" i="2"/>
  <c r="B35" i="2"/>
  <c r="K34" i="2"/>
  <c r="J34" i="2"/>
  <c r="I34" i="2"/>
  <c r="H34" i="2"/>
  <c r="G34" i="2"/>
  <c r="F34" i="2"/>
  <c r="E34" i="2"/>
  <c r="D34" i="2"/>
  <c r="C34" i="2"/>
  <c r="B34" i="2"/>
  <c r="K33" i="2"/>
  <c r="J33" i="2"/>
  <c r="I33" i="2"/>
  <c r="H33" i="2"/>
  <c r="G33" i="2"/>
  <c r="F33" i="2"/>
  <c r="E33" i="2"/>
  <c r="D33" i="2"/>
  <c r="C33" i="2"/>
  <c r="B33" i="2"/>
  <c r="K32" i="2"/>
  <c r="J32" i="2"/>
  <c r="I32" i="2"/>
  <c r="H32" i="2"/>
  <c r="G32" i="2"/>
  <c r="F32" i="2"/>
  <c r="E32" i="2"/>
  <c r="D32" i="2"/>
  <c r="C32" i="2"/>
  <c r="B32" i="2"/>
  <c r="K31" i="2"/>
  <c r="J31" i="2"/>
  <c r="I31" i="2"/>
  <c r="H31" i="2"/>
  <c r="G31" i="2"/>
  <c r="F31" i="2"/>
  <c r="E31" i="2"/>
  <c r="D31" i="2"/>
  <c r="C31" i="2"/>
  <c r="B31" i="2"/>
  <c r="K30" i="2"/>
  <c r="J30" i="2"/>
  <c r="I30" i="2"/>
  <c r="H30" i="2"/>
  <c r="G30" i="2"/>
  <c r="F30" i="2"/>
  <c r="E30" i="2"/>
  <c r="D30" i="2"/>
  <c r="C30" i="2"/>
  <c r="B30" i="2"/>
  <c r="K29" i="2"/>
  <c r="J29" i="2"/>
  <c r="I29" i="2"/>
  <c r="H29" i="2"/>
  <c r="G29" i="2"/>
  <c r="F29" i="2"/>
  <c r="E29" i="2"/>
  <c r="D29" i="2"/>
  <c r="C29" i="2"/>
  <c r="B29" i="2"/>
  <c r="K28" i="2"/>
  <c r="J28" i="2"/>
  <c r="I28" i="2"/>
  <c r="H28" i="2"/>
  <c r="G28" i="2"/>
  <c r="F28" i="2"/>
  <c r="E28" i="2"/>
  <c r="D28" i="2"/>
  <c r="C28" i="2"/>
  <c r="B28" i="2"/>
  <c r="K27" i="2"/>
  <c r="J27" i="2"/>
  <c r="I27" i="2"/>
  <c r="H27" i="2"/>
  <c r="G27" i="2"/>
  <c r="F27" i="2"/>
  <c r="E27" i="2"/>
  <c r="D27" i="2"/>
  <c r="C27" i="2"/>
  <c r="B27" i="2"/>
  <c r="K26" i="2"/>
  <c r="J26" i="2"/>
  <c r="I26" i="2"/>
  <c r="H26" i="2"/>
  <c r="G26" i="2"/>
  <c r="F26" i="2"/>
  <c r="E26" i="2"/>
  <c r="D26" i="2"/>
  <c r="C26" i="2"/>
  <c r="B26" i="2"/>
  <c r="K25" i="2"/>
  <c r="J25" i="2"/>
  <c r="I25" i="2"/>
  <c r="H25" i="2"/>
  <c r="G25" i="2"/>
  <c r="F25" i="2"/>
  <c r="E25" i="2"/>
  <c r="D25" i="2"/>
  <c r="C25" i="2"/>
  <c r="B25" i="2"/>
  <c r="K24" i="2"/>
  <c r="J24" i="2"/>
  <c r="I24" i="2"/>
  <c r="H24" i="2"/>
  <c r="G24" i="2"/>
  <c r="F24" i="2"/>
  <c r="E24" i="2"/>
  <c r="D24" i="2"/>
  <c r="C24" i="2"/>
  <c r="B24" i="2"/>
  <c r="K23" i="2"/>
  <c r="J23" i="2"/>
  <c r="I23" i="2"/>
  <c r="H23" i="2"/>
  <c r="G23" i="2"/>
  <c r="F23" i="2"/>
  <c r="E23" i="2"/>
  <c r="D23" i="2"/>
  <c r="C23" i="2"/>
  <c r="B23" i="2"/>
  <c r="K22" i="2"/>
  <c r="J22" i="2"/>
  <c r="I22" i="2"/>
  <c r="H22" i="2"/>
  <c r="G22" i="2"/>
  <c r="F22" i="2"/>
  <c r="E22" i="2"/>
  <c r="D22" i="2"/>
  <c r="C22" i="2"/>
  <c r="B22" i="2"/>
  <c r="K21" i="2"/>
  <c r="J21" i="2"/>
  <c r="I21" i="2"/>
  <c r="H21" i="2"/>
  <c r="G21" i="2"/>
  <c r="F21" i="2"/>
  <c r="E21" i="2"/>
  <c r="D21" i="2"/>
  <c r="C21" i="2"/>
  <c r="B21" i="2"/>
  <c r="K20" i="2"/>
  <c r="J20" i="2"/>
  <c r="I20" i="2"/>
  <c r="H20" i="2"/>
  <c r="G20" i="2"/>
  <c r="F20" i="2"/>
  <c r="E20" i="2"/>
  <c r="D20" i="2"/>
  <c r="C20" i="2"/>
  <c r="B20" i="2"/>
  <c r="K19" i="2"/>
  <c r="J19" i="2"/>
  <c r="I19" i="2"/>
  <c r="H19" i="2"/>
  <c r="G19" i="2"/>
  <c r="F19" i="2"/>
  <c r="E19" i="2"/>
  <c r="D19" i="2"/>
  <c r="C19" i="2"/>
  <c r="B19" i="2"/>
  <c r="K18" i="2"/>
  <c r="J18" i="2"/>
  <c r="I18" i="2"/>
  <c r="H18" i="2"/>
  <c r="G18" i="2"/>
  <c r="F18" i="2"/>
  <c r="E18" i="2"/>
  <c r="D18" i="2"/>
  <c r="C18" i="2"/>
  <c r="B18" i="2"/>
  <c r="K17" i="2"/>
  <c r="J17" i="2"/>
  <c r="I17" i="2"/>
  <c r="H17" i="2"/>
  <c r="G17" i="2"/>
  <c r="F17" i="2"/>
  <c r="E17" i="2"/>
  <c r="D17" i="2"/>
  <c r="C17" i="2"/>
  <c r="B17" i="2"/>
  <c r="K16" i="2"/>
  <c r="J16" i="2"/>
  <c r="I16" i="2"/>
  <c r="H16" i="2"/>
  <c r="G16" i="2"/>
  <c r="F16" i="2"/>
  <c r="E16" i="2"/>
  <c r="D16" i="2"/>
  <c r="C16" i="2"/>
  <c r="B16" i="2"/>
  <c r="K15" i="2"/>
  <c r="J15" i="2"/>
  <c r="I15" i="2"/>
  <c r="H15" i="2"/>
  <c r="G15" i="2"/>
  <c r="F15" i="2"/>
  <c r="E15" i="2"/>
  <c r="D15" i="2"/>
  <c r="C15" i="2"/>
  <c r="B15" i="2"/>
  <c r="K14" i="2"/>
  <c r="J14" i="2"/>
  <c r="I14" i="2"/>
  <c r="H14" i="2"/>
  <c r="G14" i="2"/>
  <c r="F14" i="2"/>
  <c r="E14" i="2"/>
  <c r="D14" i="2"/>
  <c r="C14" i="2"/>
  <c r="B14" i="2"/>
  <c r="K13" i="2"/>
  <c r="J13" i="2"/>
  <c r="I13" i="2"/>
  <c r="H13" i="2"/>
  <c r="G13" i="2"/>
  <c r="F13" i="2"/>
  <c r="E13" i="2"/>
  <c r="D13" i="2"/>
  <c r="C13" i="2"/>
  <c r="B13" i="2"/>
  <c r="K12" i="2"/>
  <c r="J12" i="2"/>
  <c r="I12" i="2"/>
  <c r="H12" i="2"/>
  <c r="G12" i="2"/>
  <c r="F12" i="2"/>
  <c r="E12" i="2"/>
  <c r="D12" i="2"/>
  <c r="C12" i="2"/>
  <c r="B12" i="2"/>
  <c r="K11" i="2"/>
  <c r="J11" i="2"/>
  <c r="I11" i="2"/>
  <c r="H11" i="2"/>
  <c r="G11" i="2"/>
  <c r="F11" i="2"/>
  <c r="E11" i="2"/>
  <c r="D11" i="2"/>
  <c r="C11" i="2"/>
  <c r="B11" i="2"/>
  <c r="K10" i="2"/>
  <c r="J10" i="2"/>
  <c r="I10" i="2"/>
  <c r="H10" i="2"/>
  <c r="G10" i="2"/>
  <c r="F10" i="2"/>
  <c r="E10" i="2"/>
  <c r="D10" i="2"/>
  <c r="C10" i="2"/>
  <c r="B10" i="2"/>
  <c r="K9" i="2"/>
  <c r="J9" i="2"/>
  <c r="I9" i="2"/>
  <c r="H9" i="2"/>
  <c r="G9" i="2"/>
  <c r="F9" i="2"/>
  <c r="E9" i="2"/>
  <c r="D9" i="2"/>
  <c r="C9" i="2"/>
  <c r="B9" i="2"/>
  <c r="K8" i="2"/>
  <c r="J8" i="2"/>
  <c r="I8" i="2"/>
  <c r="H8" i="2"/>
  <c r="G8" i="2"/>
  <c r="F8" i="2"/>
  <c r="E8" i="2"/>
  <c r="D8" i="2"/>
  <c r="C8" i="2"/>
  <c r="B8" i="2"/>
  <c r="K7" i="2"/>
  <c r="J7" i="2"/>
  <c r="I7" i="2"/>
  <c r="H7" i="2"/>
  <c r="G7" i="2"/>
  <c r="F7" i="2"/>
  <c r="E7" i="2"/>
  <c r="D7" i="2"/>
  <c r="C7" i="2"/>
  <c r="B7" i="2"/>
  <c r="K6" i="2"/>
  <c r="J6" i="2"/>
  <c r="I6" i="2"/>
  <c r="H6" i="2"/>
  <c r="G6" i="2"/>
  <c r="F6" i="2"/>
  <c r="E6" i="2"/>
  <c r="D6" i="2"/>
  <c r="C6" i="2"/>
  <c r="B6" i="2"/>
  <c r="K5" i="2"/>
  <c r="J5" i="2"/>
  <c r="I5" i="2"/>
  <c r="H5" i="2"/>
  <c r="G5" i="2"/>
  <c r="F5" i="2"/>
  <c r="E5" i="2"/>
  <c r="D5" i="2"/>
  <c r="C5" i="2"/>
  <c r="B5" i="2"/>
  <c r="K4" i="2"/>
  <c r="J4" i="2"/>
  <c r="I4" i="2"/>
  <c r="H4" i="2"/>
  <c r="G4" i="2"/>
  <c r="F4" i="2"/>
  <c r="E4" i="2"/>
  <c r="D4" i="2"/>
  <c r="C4" i="2"/>
  <c r="B4" i="2"/>
  <c r="K3" i="2"/>
  <c r="J3" i="2"/>
  <c r="I3" i="2"/>
  <c r="H3" i="2"/>
  <c r="G3" i="2"/>
  <c r="F3" i="2"/>
  <c r="E3" i="2"/>
  <c r="D3" i="2"/>
  <c r="C3" i="2"/>
  <c r="B3" i="2"/>
  <c r="K2" i="2"/>
  <c r="J2" i="2"/>
  <c r="I2" i="2"/>
  <c r="H2" i="2"/>
  <c r="G2" i="2"/>
  <c r="F2" i="2"/>
  <c r="E2" i="2"/>
  <c r="D2" i="2"/>
  <c r="C2" i="2"/>
  <c r="B2" i="2"/>
  <c r="L176" i="2" l="1"/>
  <c r="L180" i="2"/>
  <c r="L184" i="2"/>
  <c r="L188" i="2"/>
  <c r="L192" i="2"/>
  <c r="L196" i="2"/>
  <c r="L200" i="2"/>
  <c r="L204" i="2"/>
  <c r="L212" i="2"/>
  <c r="L216" i="2"/>
  <c r="L220" i="2"/>
  <c r="L224" i="2"/>
  <c r="L228" i="2"/>
  <c r="L232" i="2"/>
  <c r="L236" i="2"/>
  <c r="L240" i="2"/>
  <c r="L244" i="2"/>
  <c r="L248" i="2"/>
  <c r="L252" i="2"/>
  <c r="L256" i="2"/>
  <c r="I112" i="3"/>
  <c r="H93" i="3"/>
  <c r="J93" i="3" s="1"/>
  <c r="H99" i="3"/>
  <c r="J99" i="3" s="1"/>
  <c r="J113" i="3"/>
  <c r="I113" i="3"/>
  <c r="J89" i="3"/>
  <c r="I89" i="3"/>
  <c r="J97" i="3"/>
  <c r="I97" i="3"/>
  <c r="H94" i="3"/>
  <c r="J94" i="3" s="1"/>
  <c r="H100" i="3"/>
  <c r="J100" i="3" s="1"/>
  <c r="H106" i="3"/>
  <c r="J106" i="3" s="1"/>
  <c r="J112" i="3"/>
  <c r="I90" i="3"/>
  <c r="I98" i="3"/>
  <c r="I114" i="3"/>
  <c r="H5" i="3"/>
  <c r="J5" i="3" s="1"/>
  <c r="H88" i="3"/>
  <c r="J88" i="3" s="1"/>
  <c r="H95" i="3"/>
  <c r="I95" i="3" s="1"/>
  <c r="H101" i="3"/>
  <c r="J101" i="3" s="1"/>
  <c r="H107" i="3"/>
  <c r="J107" i="3" s="1"/>
  <c r="H120" i="3"/>
  <c r="J120" i="3" s="1"/>
  <c r="I91" i="3"/>
  <c r="I115" i="3"/>
  <c r="I105" i="3"/>
  <c r="H69" i="3"/>
  <c r="J69" i="3" s="1"/>
  <c r="H102" i="3"/>
  <c r="J102" i="3" s="1"/>
  <c r="H108" i="3"/>
  <c r="J108" i="3" s="1"/>
  <c r="I84" i="3"/>
  <c r="I92" i="3"/>
  <c r="I116" i="3"/>
  <c r="I63" i="3"/>
  <c r="H119" i="3"/>
  <c r="I119" i="3" s="1"/>
  <c r="I11" i="3"/>
  <c r="H75" i="3"/>
  <c r="J75" i="3" s="1"/>
  <c r="H96" i="3"/>
  <c r="I96" i="3" s="1"/>
  <c r="H103" i="3"/>
  <c r="J103" i="3" s="1"/>
  <c r="H109" i="3"/>
  <c r="J109" i="3" s="1"/>
  <c r="I85" i="3"/>
  <c r="I117" i="3"/>
  <c r="H110" i="3"/>
  <c r="J110" i="3" s="1"/>
  <c r="I86" i="3"/>
  <c r="I118" i="3"/>
  <c r="I31" i="3"/>
  <c r="H87" i="3"/>
  <c r="J87" i="3" s="1"/>
  <c r="I49" i="3"/>
  <c r="H37" i="3"/>
  <c r="J37" i="3" s="1"/>
  <c r="H104" i="3"/>
  <c r="J104" i="3" s="1"/>
  <c r="H111" i="3"/>
  <c r="J111" i="3" s="1"/>
  <c r="I56" i="3"/>
  <c r="I24" i="3"/>
  <c r="H43" i="3"/>
  <c r="J43" i="3" s="1"/>
  <c r="I9" i="3"/>
  <c r="I33" i="3"/>
  <c r="I65" i="3"/>
  <c r="I73" i="3"/>
  <c r="H6" i="3"/>
  <c r="J6" i="3" s="1"/>
  <c r="H12" i="3"/>
  <c r="J12" i="3" s="1"/>
  <c r="H18" i="3"/>
  <c r="J18" i="3" s="1"/>
  <c r="J24" i="3"/>
  <c r="J31" i="3"/>
  <c r="H38" i="3"/>
  <c r="J38" i="3" s="1"/>
  <c r="H44" i="3"/>
  <c r="J44" i="3" s="1"/>
  <c r="H50" i="3"/>
  <c r="J50" i="3" s="1"/>
  <c r="J56" i="3"/>
  <c r="J63" i="3"/>
  <c r="H70" i="3"/>
  <c r="J70" i="3" s="1"/>
  <c r="H76" i="3"/>
  <c r="J76" i="3" s="1"/>
  <c r="H82" i="3"/>
  <c r="J82" i="3" s="1"/>
  <c r="I10" i="3"/>
  <c r="I26" i="3"/>
  <c r="I34" i="3"/>
  <c r="I42" i="3"/>
  <c r="I58" i="3"/>
  <c r="I66" i="3"/>
  <c r="I74" i="3"/>
  <c r="H81" i="3"/>
  <c r="J81" i="3" s="1"/>
  <c r="I25" i="3"/>
  <c r="I41" i="3"/>
  <c r="I57" i="3"/>
  <c r="H7" i="3"/>
  <c r="J7" i="3" s="1"/>
  <c r="H13" i="3"/>
  <c r="J13" i="3" s="1"/>
  <c r="H19" i="3"/>
  <c r="J19" i="3" s="1"/>
  <c r="H32" i="3"/>
  <c r="I32" i="3" s="1"/>
  <c r="H39" i="3"/>
  <c r="I39" i="3" s="1"/>
  <c r="H45" i="3"/>
  <c r="J45" i="3" s="1"/>
  <c r="H51" i="3"/>
  <c r="J51" i="3" s="1"/>
  <c r="H64" i="3"/>
  <c r="I64" i="3" s="1"/>
  <c r="H71" i="3"/>
  <c r="I71" i="3" s="1"/>
  <c r="H77" i="3"/>
  <c r="J77" i="3" s="1"/>
  <c r="H83" i="3"/>
  <c r="J83" i="3" s="1"/>
  <c r="I3" i="3"/>
  <c r="I27" i="3"/>
  <c r="I35" i="3"/>
  <c r="I59" i="3"/>
  <c r="I67" i="3"/>
  <c r="I17" i="3"/>
  <c r="H14" i="3"/>
  <c r="J14" i="3" s="1"/>
  <c r="H20" i="3"/>
  <c r="J20" i="3" s="1"/>
  <c r="H46" i="3"/>
  <c r="J46" i="3" s="1"/>
  <c r="H52" i="3"/>
  <c r="J52" i="3" s="1"/>
  <c r="H78" i="3"/>
  <c r="J78" i="3" s="1"/>
  <c r="I4" i="3"/>
  <c r="I28" i="3"/>
  <c r="I36" i="3"/>
  <c r="I60" i="3"/>
  <c r="I68" i="3"/>
  <c r="H2" i="3"/>
  <c r="J2" i="3" s="1"/>
  <c r="H8" i="3"/>
  <c r="I8" i="3" s="1"/>
  <c r="H15" i="3"/>
  <c r="I15" i="3" s="1"/>
  <c r="H21" i="3"/>
  <c r="J21" i="3" s="1"/>
  <c r="H40" i="3"/>
  <c r="I40" i="3" s="1"/>
  <c r="H47" i="3"/>
  <c r="I47" i="3" s="1"/>
  <c r="H53" i="3"/>
  <c r="J53" i="3" s="1"/>
  <c r="H72" i="3"/>
  <c r="J72" i="3" s="1"/>
  <c r="H79" i="3"/>
  <c r="J79" i="3" s="1"/>
  <c r="I29" i="3"/>
  <c r="I61" i="3"/>
  <c r="H22" i="3"/>
  <c r="J22" i="3" s="1"/>
  <c r="H54" i="3"/>
  <c r="J54" i="3" s="1"/>
  <c r="I30" i="3"/>
  <c r="I62" i="3"/>
  <c r="H16" i="3"/>
  <c r="I16" i="3" s="1"/>
  <c r="H23" i="3"/>
  <c r="I23" i="3" s="1"/>
  <c r="H48" i="3"/>
  <c r="J48" i="3" s="1"/>
  <c r="H55" i="3"/>
  <c r="J55" i="3" s="1"/>
  <c r="H80" i="3"/>
  <c r="I80" i="3" s="1"/>
  <c r="L177" i="2"/>
  <c r="L181" i="2"/>
  <c r="L185" i="2"/>
  <c r="L189" i="2"/>
  <c r="L193" i="2"/>
  <c r="L197" i="2"/>
  <c r="L201" i="2"/>
  <c r="L205" i="2"/>
  <c r="L209" i="2"/>
  <c r="L213" i="2"/>
  <c r="L217" i="2"/>
  <c r="L221" i="2"/>
  <c r="L225" i="2"/>
  <c r="L229" i="2"/>
  <c r="L233" i="2"/>
  <c r="L237" i="2"/>
  <c r="L241" i="2"/>
  <c r="L245" i="2"/>
  <c r="L249" i="2"/>
  <c r="L253" i="2"/>
  <c r="L257" i="2"/>
  <c r="L178" i="2"/>
  <c r="L182" i="2"/>
  <c r="L186" i="2"/>
  <c r="L190" i="2"/>
  <c r="L194" i="2"/>
  <c r="L198" i="2"/>
  <c r="L202" i="2"/>
  <c r="L206" i="2"/>
  <c r="L210" i="2"/>
  <c r="L214" i="2"/>
  <c r="L218" i="2"/>
  <c r="L222" i="2"/>
  <c r="L226" i="2"/>
  <c r="L230" i="2"/>
  <c r="L234" i="2"/>
  <c r="L238" i="2"/>
  <c r="L242" i="2"/>
  <c r="L246" i="2"/>
  <c r="L250" i="2"/>
  <c r="L254" i="2"/>
  <c r="L258" i="2"/>
  <c r="L208" i="2"/>
  <c r="L179" i="2"/>
  <c r="L183" i="2"/>
  <c r="L187" i="2"/>
  <c r="L191" i="2"/>
  <c r="L195" i="2"/>
  <c r="L199" i="2"/>
  <c r="L203" i="2"/>
  <c r="L207" i="2"/>
  <c r="L211" i="2"/>
  <c r="L215" i="2"/>
  <c r="L219" i="2"/>
  <c r="L223" i="2"/>
  <c r="L227" i="2"/>
  <c r="L231" i="2"/>
  <c r="L235" i="2"/>
  <c r="L239" i="2"/>
  <c r="L243" i="2"/>
  <c r="L247" i="2"/>
  <c r="L251" i="2"/>
  <c r="L255" i="2"/>
  <c r="L259" i="2"/>
  <c r="L130" i="2"/>
  <c r="L134" i="2"/>
  <c r="L138" i="2"/>
  <c r="L142" i="2"/>
  <c r="L146" i="2"/>
  <c r="L150" i="2"/>
  <c r="L154" i="2"/>
  <c r="L158" i="2"/>
  <c r="L165" i="2"/>
  <c r="L169" i="2"/>
  <c r="L173" i="2"/>
  <c r="L122" i="2"/>
  <c r="L126" i="2"/>
  <c r="L99" i="2"/>
  <c r="L103" i="2"/>
  <c r="L83" i="2"/>
  <c r="L87" i="2"/>
  <c r="L91" i="2"/>
  <c r="L95" i="2"/>
  <c r="L71" i="2"/>
  <c r="L75" i="2"/>
  <c r="L79" i="2"/>
  <c r="L44" i="2"/>
  <c r="L48" i="2"/>
  <c r="L40" i="2"/>
  <c r="L36" i="2"/>
  <c r="L24" i="2"/>
  <c r="L28" i="2"/>
  <c r="L32" i="2"/>
  <c r="L5" i="2"/>
  <c r="L17" i="2"/>
  <c r="L73" i="2"/>
  <c r="L77" i="2"/>
  <c r="L81" i="2"/>
  <c r="L85" i="2"/>
  <c r="L89" i="2"/>
  <c r="L93" i="2"/>
  <c r="L97" i="2"/>
  <c r="L101" i="2"/>
  <c r="L124" i="2"/>
  <c r="L128" i="2"/>
  <c r="L132" i="2"/>
  <c r="L136" i="2"/>
  <c r="L140" i="2"/>
  <c r="L144" i="2"/>
  <c r="L148" i="2"/>
  <c r="L152" i="2"/>
  <c r="L156" i="2"/>
  <c r="L167" i="2"/>
  <c r="L171" i="2"/>
  <c r="L175" i="2"/>
  <c r="L3" i="2"/>
  <c r="L7" i="2"/>
  <c r="L11" i="2"/>
  <c r="L58" i="2"/>
  <c r="L62" i="2"/>
  <c r="L105" i="2"/>
  <c r="L109" i="2"/>
  <c r="L113" i="2"/>
  <c r="L117" i="2"/>
  <c r="L121" i="2"/>
  <c r="L164" i="2"/>
  <c r="L6" i="2"/>
  <c r="L70" i="2"/>
  <c r="L86" i="2"/>
  <c r="L90" i="2"/>
  <c r="L94" i="2"/>
  <c r="L98" i="2"/>
  <c r="L102" i="2"/>
  <c r="L125" i="2"/>
  <c r="L129" i="2"/>
  <c r="L133" i="2"/>
  <c r="L137" i="2"/>
  <c r="L141" i="2"/>
  <c r="L145" i="2"/>
  <c r="L149" i="2"/>
  <c r="L153" i="2"/>
  <c r="L157" i="2"/>
  <c r="L168" i="2"/>
  <c r="L172" i="2"/>
  <c r="L4" i="2"/>
  <c r="L8" i="2"/>
  <c r="L59" i="2"/>
  <c r="L63" i="2"/>
  <c r="L67" i="2"/>
  <c r="L106" i="2"/>
  <c r="L110" i="2"/>
  <c r="L114" i="2"/>
  <c r="L118" i="2"/>
  <c r="L160" i="2"/>
  <c r="L161" i="2"/>
  <c r="L111" i="2"/>
  <c r="L115" i="2"/>
  <c r="L119" i="2"/>
  <c r="L162" i="2"/>
  <c r="L56" i="2"/>
  <c r="L76" i="2"/>
  <c r="L80" i="2"/>
  <c r="L84" i="2"/>
  <c r="L88" i="2"/>
  <c r="L92" i="2"/>
  <c r="L96" i="2"/>
  <c r="L100" i="2"/>
  <c r="L104" i="2"/>
  <c r="L123" i="2"/>
  <c r="L127" i="2"/>
  <c r="L131" i="2"/>
  <c r="L135" i="2"/>
  <c r="L139" i="2"/>
  <c r="L143" i="2"/>
  <c r="L147" i="2"/>
  <c r="L151" i="2"/>
  <c r="L155" i="2"/>
  <c r="L159" i="2"/>
  <c r="L166" i="2"/>
  <c r="L170" i="2"/>
  <c r="L174" i="2"/>
  <c r="L107" i="2"/>
  <c r="L2" i="2"/>
  <c r="L9" i="2"/>
  <c r="L57" i="2"/>
  <c r="L61" i="2"/>
  <c r="L65" i="2"/>
  <c r="L69" i="2"/>
  <c r="L108" i="2"/>
  <c r="L112" i="2"/>
  <c r="L116" i="2"/>
  <c r="L120" i="2"/>
  <c r="L163" i="2"/>
  <c r="B5" i="3"/>
  <c r="D5" i="3" s="1"/>
  <c r="D4" i="3"/>
  <c r="D3" i="3"/>
  <c r="C3" i="3"/>
  <c r="E3" i="3" s="1"/>
  <c r="C5" i="3"/>
  <c r="E5" i="3" s="1"/>
  <c r="B6" i="3"/>
  <c r="D6" i="3" s="1"/>
  <c r="C4" i="3"/>
  <c r="E4" i="3" s="1"/>
  <c r="L14" i="2"/>
  <c r="L21" i="2"/>
  <c r="L52" i="2"/>
  <c r="L60" i="2"/>
  <c r="L64" i="2"/>
  <c r="L68" i="2"/>
  <c r="L25" i="2"/>
  <c r="L29" i="2"/>
  <c r="L33" i="2"/>
  <c r="L37" i="2"/>
  <c r="L41" i="2"/>
  <c r="L45" i="2"/>
  <c r="L49" i="2"/>
  <c r="L72" i="2"/>
  <c r="L15" i="2"/>
  <c r="L18" i="2"/>
  <c r="L22" i="2"/>
  <c r="L53" i="2"/>
  <c r="L12" i="2"/>
  <c r="L26" i="2"/>
  <c r="L30" i="2"/>
  <c r="L34" i="2"/>
  <c r="L38" i="2"/>
  <c r="L42" i="2"/>
  <c r="L46" i="2"/>
  <c r="L19" i="2"/>
  <c r="L50" i="2"/>
  <c r="L54" i="2"/>
  <c r="L66" i="2"/>
  <c r="L10" i="2"/>
  <c r="L13" i="2"/>
  <c r="L16" i="2"/>
  <c r="L23" i="2"/>
  <c r="L27" i="2"/>
  <c r="L31" i="2"/>
  <c r="L35" i="2"/>
  <c r="L39" i="2"/>
  <c r="L43" i="2"/>
  <c r="L47" i="2"/>
  <c r="L74" i="2"/>
  <c r="L78" i="2"/>
  <c r="L82" i="2"/>
  <c r="L20" i="2"/>
  <c r="L51" i="2"/>
  <c r="L55" i="2"/>
  <c r="J32" i="3" l="1"/>
  <c r="J95" i="3"/>
  <c r="I93" i="3"/>
  <c r="I104" i="3"/>
  <c r="J40" i="3"/>
  <c r="I99" i="3"/>
  <c r="J8" i="3"/>
  <c r="I69" i="3"/>
  <c r="I106" i="3"/>
  <c r="J16" i="3"/>
  <c r="I100" i="3"/>
  <c r="I76" i="3"/>
  <c r="I110" i="3"/>
  <c r="J96" i="3"/>
  <c r="I5" i="3"/>
  <c r="I88" i="3"/>
  <c r="J47" i="3"/>
  <c r="I107" i="3"/>
  <c r="I87" i="3"/>
  <c r="J119" i="3"/>
  <c r="I18" i="3"/>
  <c r="I111" i="3"/>
  <c r="I108" i="3"/>
  <c r="I103" i="3"/>
  <c r="I120" i="3"/>
  <c r="J15" i="3"/>
  <c r="I82" i="3"/>
  <c r="I101" i="3"/>
  <c r="I44" i="3"/>
  <c r="I37" i="3"/>
  <c r="I109" i="3"/>
  <c r="I43" i="3"/>
  <c r="I94" i="3"/>
  <c r="J80" i="3"/>
  <c r="J64" i="3"/>
  <c r="I75" i="3"/>
  <c r="I102" i="3"/>
  <c r="I6" i="3"/>
  <c r="I79" i="3"/>
  <c r="I50" i="3"/>
  <c r="I52" i="3"/>
  <c r="I14" i="3"/>
  <c r="I7" i="3"/>
  <c r="I48" i="3"/>
  <c r="I22" i="3"/>
  <c r="J39" i="3"/>
  <c r="I19" i="3"/>
  <c r="I13" i="3"/>
  <c r="I38" i="3"/>
  <c r="J23" i="3"/>
  <c r="I2" i="3"/>
  <c r="I72" i="3"/>
  <c r="I51" i="3"/>
  <c r="I21" i="3"/>
  <c r="I46" i="3"/>
  <c r="I55" i="3"/>
  <c r="I83" i="3"/>
  <c r="I45" i="3"/>
  <c r="I54" i="3"/>
  <c r="I81" i="3"/>
  <c r="I12" i="3"/>
  <c r="I53" i="3"/>
  <c r="I70" i="3"/>
  <c r="J71" i="3"/>
  <c r="I20" i="3"/>
  <c r="I77" i="3"/>
  <c r="I78" i="3"/>
  <c r="B7" i="3"/>
  <c r="D7" i="3" s="1"/>
  <c r="C6" i="3"/>
  <c r="E6" i="3" s="1"/>
  <c r="B8" i="3" l="1"/>
  <c r="D8" i="3" s="1"/>
  <c r="C7" i="3"/>
  <c r="E7" i="3" s="1"/>
  <c r="B9" i="3" l="1"/>
  <c r="D9" i="3" s="1"/>
  <c r="C8" i="3"/>
  <c r="E8" i="3" s="1"/>
  <c r="C9" i="3" l="1"/>
  <c r="E9" i="3" s="1"/>
  <c r="B10" i="3"/>
  <c r="D10" i="3" s="1"/>
  <c r="B11" i="3" l="1"/>
  <c r="D11" i="3" s="1"/>
  <c r="C10" i="3"/>
  <c r="E10" i="3" s="1"/>
  <c r="B12" i="3" l="1"/>
  <c r="D12" i="3" s="1"/>
  <c r="C11" i="3"/>
  <c r="E11" i="3" s="1"/>
  <c r="B13" i="3" l="1"/>
  <c r="D13" i="3" s="1"/>
  <c r="C12" i="3"/>
  <c r="E12" i="3" s="1"/>
  <c r="C13" i="3" l="1"/>
  <c r="E13" i="3" s="1"/>
  <c r="B14" i="3"/>
  <c r="D14" i="3" s="1"/>
  <c r="B15" i="3" l="1"/>
  <c r="D15" i="3" s="1"/>
  <c r="C14" i="3"/>
  <c r="E14" i="3" s="1"/>
  <c r="B16" i="3" l="1"/>
  <c r="D16" i="3" s="1"/>
  <c r="C15" i="3"/>
  <c r="E15" i="3" s="1"/>
  <c r="B17" i="3" l="1"/>
  <c r="D17" i="3" s="1"/>
  <c r="C16" i="3"/>
  <c r="E16" i="3" s="1"/>
  <c r="C17" i="3" l="1"/>
  <c r="E17" i="3" s="1"/>
  <c r="B18" i="3"/>
  <c r="D18" i="3" s="1"/>
  <c r="B19" i="3" l="1"/>
  <c r="D19" i="3" s="1"/>
  <c r="C18" i="3"/>
  <c r="E18" i="3" s="1"/>
  <c r="B20" i="3" l="1"/>
  <c r="D20" i="3" s="1"/>
  <c r="C19" i="3"/>
  <c r="E19" i="3" s="1"/>
  <c r="B21" i="3" l="1"/>
  <c r="D21" i="3" s="1"/>
  <c r="C20" i="3"/>
  <c r="E20" i="3" s="1"/>
  <c r="C21" i="3" l="1"/>
  <c r="E21" i="3" s="1"/>
  <c r="B22" i="3"/>
  <c r="D22" i="3" s="1"/>
  <c r="B23" i="3" l="1"/>
  <c r="D23" i="3" s="1"/>
  <c r="C22" i="3"/>
  <c r="E22" i="3" s="1"/>
  <c r="B24" i="3" l="1"/>
  <c r="D24" i="3" s="1"/>
  <c r="C23" i="3"/>
  <c r="E23" i="3" s="1"/>
  <c r="B25" i="3" l="1"/>
  <c r="D25" i="3" s="1"/>
  <c r="C24" i="3"/>
  <c r="E24" i="3" s="1"/>
  <c r="C25" i="3" l="1"/>
  <c r="E25" i="3" s="1"/>
  <c r="B26" i="3"/>
  <c r="D26" i="3" s="1"/>
  <c r="B27" i="3" l="1"/>
  <c r="D27" i="3" s="1"/>
  <c r="C26" i="3"/>
  <c r="E26" i="3" s="1"/>
  <c r="B28" i="3" l="1"/>
  <c r="D28" i="3" s="1"/>
  <c r="C27" i="3"/>
  <c r="E27" i="3" s="1"/>
  <c r="B29" i="3" l="1"/>
  <c r="D29" i="3" s="1"/>
  <c r="C28" i="3"/>
  <c r="E28" i="3" s="1"/>
  <c r="C29" i="3" l="1"/>
  <c r="E29" i="3" s="1"/>
  <c r="B30" i="3"/>
  <c r="D30" i="3" s="1"/>
  <c r="B31" i="3" l="1"/>
  <c r="D31" i="3" s="1"/>
  <c r="C30" i="3"/>
  <c r="E30" i="3" s="1"/>
  <c r="B32" i="3" l="1"/>
  <c r="D32" i="3" s="1"/>
  <c r="C31" i="3"/>
  <c r="E31" i="3" s="1"/>
  <c r="B33" i="3" l="1"/>
  <c r="D33" i="3" s="1"/>
  <c r="C32" i="3"/>
  <c r="E32" i="3" s="1"/>
  <c r="C33" i="3" l="1"/>
  <c r="E33" i="3" s="1"/>
  <c r="B34" i="3"/>
  <c r="D34" i="3" s="1"/>
  <c r="B35" i="3" l="1"/>
  <c r="D35" i="3" s="1"/>
  <c r="C34" i="3"/>
  <c r="E34" i="3" s="1"/>
  <c r="B36" i="3" l="1"/>
  <c r="D36" i="3" s="1"/>
  <c r="C35" i="3"/>
  <c r="E35" i="3" s="1"/>
  <c r="B37" i="3" l="1"/>
  <c r="D37" i="3" s="1"/>
  <c r="C36" i="3"/>
  <c r="E36" i="3" s="1"/>
  <c r="C37" i="3" l="1"/>
  <c r="E37" i="3" s="1"/>
  <c r="B38" i="3"/>
  <c r="D38" i="3" s="1"/>
  <c r="B39" i="3" l="1"/>
  <c r="D39" i="3" s="1"/>
  <c r="C38" i="3"/>
  <c r="E38" i="3" s="1"/>
  <c r="B40" i="3" l="1"/>
  <c r="D40" i="3" s="1"/>
  <c r="C39" i="3"/>
  <c r="E39" i="3" s="1"/>
  <c r="B41" i="3" l="1"/>
  <c r="D41" i="3" s="1"/>
  <c r="C40" i="3"/>
  <c r="E40" i="3" s="1"/>
  <c r="C41" i="3" l="1"/>
  <c r="E41" i="3" s="1"/>
  <c r="B42" i="3"/>
  <c r="D42" i="3" s="1"/>
  <c r="B43" i="3" l="1"/>
  <c r="D43" i="3" s="1"/>
  <c r="C42" i="3"/>
  <c r="E42" i="3" s="1"/>
  <c r="B44" i="3" l="1"/>
  <c r="D44" i="3" s="1"/>
  <c r="C43" i="3"/>
  <c r="E43" i="3" s="1"/>
  <c r="B45" i="3" l="1"/>
  <c r="D45" i="3" s="1"/>
  <c r="C44" i="3"/>
  <c r="E44" i="3" s="1"/>
  <c r="C45" i="3" l="1"/>
  <c r="E45" i="3" s="1"/>
  <c r="B46" i="3"/>
  <c r="D46" i="3" s="1"/>
  <c r="B47" i="3" l="1"/>
  <c r="D47" i="3" s="1"/>
  <c r="C46" i="3"/>
  <c r="E46" i="3" s="1"/>
  <c r="B48" i="3" l="1"/>
  <c r="D48" i="3" s="1"/>
  <c r="C47" i="3"/>
  <c r="E47" i="3" s="1"/>
  <c r="B49" i="3" l="1"/>
  <c r="D49" i="3" s="1"/>
  <c r="C48" i="3"/>
  <c r="E48" i="3" s="1"/>
  <c r="C49" i="3" l="1"/>
  <c r="E49" i="3" s="1"/>
  <c r="B50" i="3"/>
  <c r="D50" i="3" s="1"/>
  <c r="B51" i="3" l="1"/>
  <c r="D51" i="3" s="1"/>
  <c r="C50" i="3"/>
  <c r="E50" i="3" s="1"/>
  <c r="B52" i="3" l="1"/>
  <c r="D52" i="3" s="1"/>
  <c r="C51" i="3"/>
  <c r="E51" i="3" s="1"/>
  <c r="B53" i="3" l="1"/>
  <c r="D53" i="3" s="1"/>
  <c r="C52" i="3"/>
  <c r="E52" i="3" s="1"/>
  <c r="C53" i="3" l="1"/>
  <c r="E53" i="3" s="1"/>
  <c r="B54" i="3"/>
  <c r="D54" i="3" s="1"/>
  <c r="B55" i="3" l="1"/>
  <c r="D55" i="3" s="1"/>
  <c r="C54" i="3"/>
  <c r="E54" i="3" s="1"/>
  <c r="B56" i="3" l="1"/>
  <c r="D56" i="3" s="1"/>
  <c r="C55" i="3"/>
  <c r="E55" i="3" s="1"/>
  <c r="B57" i="3" l="1"/>
  <c r="D57" i="3" s="1"/>
  <c r="C56" i="3"/>
  <c r="E56" i="3" s="1"/>
  <c r="C57" i="3" l="1"/>
  <c r="E57" i="3" s="1"/>
  <c r="B58" i="3"/>
  <c r="D58" i="3" s="1"/>
  <c r="B59" i="3" l="1"/>
  <c r="D59" i="3" s="1"/>
  <c r="C58" i="3"/>
  <c r="E58" i="3" s="1"/>
  <c r="B60" i="3" l="1"/>
  <c r="D60" i="3" s="1"/>
  <c r="C59" i="3"/>
  <c r="E59" i="3" s="1"/>
  <c r="B61" i="3" l="1"/>
  <c r="D61" i="3" s="1"/>
  <c r="C60" i="3"/>
  <c r="E60" i="3" s="1"/>
  <c r="C61" i="3" l="1"/>
  <c r="E61" i="3" s="1"/>
  <c r="B62" i="3"/>
  <c r="D62" i="3" s="1"/>
  <c r="B63" i="3" l="1"/>
  <c r="D63" i="3" s="1"/>
  <c r="C62" i="3"/>
  <c r="E62" i="3" s="1"/>
  <c r="B64" i="3" l="1"/>
  <c r="D64" i="3" s="1"/>
  <c r="C63" i="3"/>
  <c r="E63" i="3" s="1"/>
  <c r="B65" i="3" l="1"/>
  <c r="D65" i="3" s="1"/>
  <c r="C64" i="3"/>
  <c r="E64" i="3" s="1"/>
  <c r="C65" i="3" l="1"/>
  <c r="E65" i="3" s="1"/>
  <c r="B66" i="3"/>
  <c r="D66" i="3" s="1"/>
  <c r="B67" i="3" l="1"/>
  <c r="D67" i="3" s="1"/>
  <c r="C66" i="3"/>
  <c r="E66" i="3" s="1"/>
  <c r="B68" i="3" l="1"/>
  <c r="D68" i="3" s="1"/>
  <c r="C67" i="3"/>
  <c r="E67" i="3" s="1"/>
  <c r="B69" i="3" l="1"/>
  <c r="D69" i="3" s="1"/>
  <c r="C68" i="3"/>
  <c r="E68" i="3" s="1"/>
  <c r="C69" i="3" l="1"/>
  <c r="E69" i="3" s="1"/>
  <c r="B70" i="3"/>
  <c r="D70" i="3" s="1"/>
  <c r="B71" i="3" l="1"/>
  <c r="D71" i="3" s="1"/>
  <c r="C70" i="3"/>
  <c r="E70" i="3" s="1"/>
  <c r="B72" i="3" l="1"/>
  <c r="D72" i="3" s="1"/>
  <c r="C71" i="3"/>
  <c r="E71" i="3" s="1"/>
  <c r="B73" i="3" l="1"/>
  <c r="D73" i="3" s="1"/>
  <c r="C72" i="3"/>
  <c r="E72" i="3" s="1"/>
  <c r="C73" i="3" l="1"/>
  <c r="E73" i="3" s="1"/>
  <c r="B74" i="3"/>
  <c r="D74" i="3" s="1"/>
  <c r="B75" i="3" l="1"/>
  <c r="D75" i="3" s="1"/>
  <c r="C74" i="3"/>
  <c r="E74" i="3" s="1"/>
  <c r="B76" i="3" l="1"/>
  <c r="D76" i="3" s="1"/>
  <c r="C75" i="3"/>
  <c r="E75" i="3" s="1"/>
  <c r="B77" i="3" l="1"/>
  <c r="D77" i="3" s="1"/>
  <c r="C76" i="3"/>
  <c r="E76" i="3" s="1"/>
  <c r="C77" i="3" l="1"/>
  <c r="E77" i="3" s="1"/>
  <c r="B78" i="3"/>
  <c r="D78" i="3" s="1"/>
  <c r="B79" i="3" l="1"/>
  <c r="D79" i="3" s="1"/>
  <c r="C78" i="3"/>
  <c r="E78" i="3" s="1"/>
  <c r="B80" i="3" l="1"/>
  <c r="D80" i="3" s="1"/>
  <c r="C79" i="3"/>
  <c r="E79" i="3" s="1"/>
  <c r="B81" i="3" l="1"/>
  <c r="D81" i="3" s="1"/>
  <c r="C80" i="3"/>
  <c r="E80" i="3" s="1"/>
  <c r="C81" i="3" l="1"/>
  <c r="E81" i="3" s="1"/>
  <c r="B82" i="3"/>
  <c r="D82" i="3" s="1"/>
  <c r="B83" i="3" l="1"/>
  <c r="D83" i="3" s="1"/>
  <c r="C82" i="3"/>
  <c r="E82" i="3" s="1"/>
  <c r="B84" i="3" l="1"/>
  <c r="D84" i="3" s="1"/>
  <c r="C83" i="3"/>
  <c r="E83" i="3" s="1"/>
  <c r="B85" i="3" l="1"/>
  <c r="D85" i="3" s="1"/>
  <c r="C84" i="3"/>
  <c r="E84" i="3" s="1"/>
  <c r="C85" i="3" l="1"/>
  <c r="E85" i="3" s="1"/>
  <c r="B86" i="3"/>
  <c r="D86" i="3" s="1"/>
  <c r="B87" i="3" l="1"/>
  <c r="D87" i="3" s="1"/>
  <c r="C86" i="3"/>
  <c r="E86" i="3" s="1"/>
  <c r="B88" i="3" l="1"/>
  <c r="D88" i="3" s="1"/>
  <c r="C87" i="3"/>
  <c r="E87" i="3" s="1"/>
  <c r="B89" i="3" l="1"/>
  <c r="D89" i="3" s="1"/>
  <c r="C88" i="3"/>
  <c r="E88" i="3" s="1"/>
  <c r="C89" i="3" l="1"/>
  <c r="E89" i="3" s="1"/>
  <c r="B90" i="3"/>
  <c r="D90" i="3" s="1"/>
  <c r="B91" i="3" l="1"/>
  <c r="D91" i="3" s="1"/>
  <c r="C90" i="3"/>
  <c r="E90" i="3" s="1"/>
  <c r="B92" i="3" l="1"/>
  <c r="D92" i="3" s="1"/>
  <c r="C91" i="3"/>
  <c r="E91" i="3" s="1"/>
  <c r="B93" i="3" l="1"/>
  <c r="D93" i="3" s="1"/>
  <c r="C92" i="3"/>
  <c r="E92" i="3" s="1"/>
  <c r="C93" i="3" l="1"/>
  <c r="E93" i="3" s="1"/>
  <c r="B94" i="3"/>
  <c r="D94" i="3" s="1"/>
  <c r="B95" i="3" l="1"/>
  <c r="D95" i="3" s="1"/>
  <c r="C94" i="3"/>
  <c r="E94" i="3" s="1"/>
  <c r="B96" i="3" l="1"/>
  <c r="D96" i="3" s="1"/>
  <c r="C95" i="3"/>
  <c r="E95" i="3" s="1"/>
  <c r="B97" i="3" l="1"/>
  <c r="D97" i="3" s="1"/>
  <c r="C96" i="3"/>
  <c r="E96" i="3" s="1"/>
  <c r="C97" i="3" l="1"/>
  <c r="E97" i="3" s="1"/>
  <c r="B98" i="3"/>
  <c r="D98" i="3" s="1"/>
  <c r="B99" i="3" l="1"/>
  <c r="D99" i="3" s="1"/>
  <c r="C98" i="3"/>
  <c r="E98" i="3" s="1"/>
  <c r="B100" i="3" l="1"/>
  <c r="D100" i="3" s="1"/>
  <c r="C99" i="3"/>
  <c r="E99" i="3" s="1"/>
  <c r="B101" i="3" l="1"/>
  <c r="D101" i="3" s="1"/>
  <c r="C100" i="3"/>
  <c r="E100" i="3" s="1"/>
  <c r="C101" i="3" l="1"/>
  <c r="E101" i="3" s="1"/>
  <c r="B102" i="3"/>
  <c r="D102" i="3" s="1"/>
  <c r="B103" i="3" l="1"/>
  <c r="D103" i="3" s="1"/>
  <c r="C102" i="3"/>
  <c r="E102" i="3" s="1"/>
  <c r="B104" i="3" l="1"/>
  <c r="D104" i="3" s="1"/>
  <c r="C103" i="3"/>
  <c r="E103" i="3" s="1"/>
  <c r="B105" i="3" l="1"/>
  <c r="D105" i="3" s="1"/>
  <c r="C104" i="3"/>
  <c r="E104" i="3" s="1"/>
  <c r="C105" i="3" l="1"/>
  <c r="E105" i="3" s="1"/>
  <c r="B106" i="3"/>
  <c r="D106" i="3" s="1"/>
  <c r="B107" i="3" l="1"/>
  <c r="D107" i="3" s="1"/>
  <c r="C106" i="3"/>
  <c r="E106" i="3" s="1"/>
  <c r="B108" i="3" l="1"/>
  <c r="D108" i="3" s="1"/>
  <c r="C107" i="3"/>
  <c r="E107" i="3" s="1"/>
  <c r="B109" i="3" l="1"/>
  <c r="D109" i="3" s="1"/>
  <c r="C108" i="3"/>
  <c r="E108" i="3" s="1"/>
  <c r="C109" i="3" l="1"/>
  <c r="E109" i="3" s="1"/>
  <c r="B110" i="3"/>
  <c r="D110" i="3" s="1"/>
  <c r="B111" i="3" l="1"/>
  <c r="D111" i="3" s="1"/>
  <c r="C110" i="3"/>
  <c r="E110" i="3" s="1"/>
  <c r="B112" i="3" l="1"/>
  <c r="D112" i="3" s="1"/>
  <c r="C111" i="3"/>
  <c r="E111" i="3" s="1"/>
  <c r="B113" i="3" l="1"/>
  <c r="D113" i="3" s="1"/>
  <c r="C112" i="3"/>
  <c r="E112" i="3" s="1"/>
  <c r="C113" i="3" l="1"/>
  <c r="E113" i="3" s="1"/>
  <c r="B114" i="3"/>
  <c r="D114" i="3" s="1"/>
  <c r="B115" i="3" l="1"/>
  <c r="D115" i="3" s="1"/>
  <c r="C114" i="3"/>
  <c r="E114" i="3" s="1"/>
  <c r="B116" i="3" l="1"/>
  <c r="D116" i="3" s="1"/>
  <c r="C115" i="3"/>
  <c r="E115" i="3" s="1"/>
  <c r="B117" i="3" l="1"/>
  <c r="D117" i="3" s="1"/>
  <c r="C116" i="3"/>
  <c r="E116" i="3" s="1"/>
  <c r="C117" i="3" l="1"/>
  <c r="E117" i="3" s="1"/>
  <c r="B118" i="3"/>
  <c r="D118" i="3" s="1"/>
  <c r="B119" i="3" l="1"/>
  <c r="D119" i="3" s="1"/>
  <c r="C118" i="3"/>
  <c r="E118" i="3" s="1"/>
  <c r="B120" i="3" l="1"/>
  <c r="D120" i="3" s="1"/>
  <c r="C119" i="3"/>
  <c r="E119" i="3" s="1"/>
  <c r="B121" i="3" l="1"/>
  <c r="D121" i="3" s="1"/>
  <c r="C120" i="3"/>
  <c r="E120" i="3" s="1"/>
  <c r="C121" i="3" l="1"/>
  <c r="E121" i="3" s="1"/>
  <c r="B122" i="3"/>
  <c r="D122" i="3" s="1"/>
  <c r="B123" i="3" l="1"/>
  <c r="D123" i="3" s="1"/>
  <c r="C122" i="3"/>
  <c r="E122" i="3" s="1"/>
  <c r="B124" i="3" l="1"/>
  <c r="D124" i="3" s="1"/>
  <c r="C123" i="3"/>
  <c r="E123" i="3" s="1"/>
  <c r="B125" i="3" l="1"/>
  <c r="D125" i="3" s="1"/>
  <c r="C124" i="3"/>
  <c r="E124" i="3" s="1"/>
  <c r="C125" i="3" l="1"/>
  <c r="E125" i="3" s="1"/>
  <c r="B126" i="3"/>
  <c r="D126" i="3" s="1"/>
  <c r="B127" i="3" l="1"/>
  <c r="D127" i="3" s="1"/>
  <c r="C126" i="3"/>
  <c r="E126" i="3" s="1"/>
  <c r="B128" i="3" l="1"/>
  <c r="D128" i="3" s="1"/>
  <c r="C127" i="3"/>
  <c r="E127" i="3" s="1"/>
  <c r="B129" i="3" l="1"/>
  <c r="D129" i="3" s="1"/>
  <c r="C128" i="3"/>
  <c r="E128" i="3" s="1"/>
  <c r="C129" i="3" l="1"/>
  <c r="E129" i="3" s="1"/>
  <c r="B130" i="3"/>
  <c r="D130" i="3" s="1"/>
  <c r="B131" i="3" l="1"/>
  <c r="D131" i="3" s="1"/>
  <c r="C130" i="3"/>
  <c r="E130" i="3" s="1"/>
  <c r="B132" i="3" l="1"/>
  <c r="D132" i="3" s="1"/>
  <c r="C131" i="3"/>
  <c r="E131" i="3" s="1"/>
  <c r="B133" i="3" l="1"/>
  <c r="D133" i="3" s="1"/>
  <c r="C132" i="3"/>
  <c r="E132" i="3" s="1"/>
  <c r="C133" i="3" l="1"/>
  <c r="E133" i="3" s="1"/>
  <c r="B134" i="3"/>
  <c r="D134" i="3" s="1"/>
  <c r="B135" i="3" l="1"/>
  <c r="D135" i="3" s="1"/>
  <c r="C134" i="3"/>
  <c r="E134" i="3" s="1"/>
  <c r="B136" i="3" l="1"/>
  <c r="D136" i="3" s="1"/>
  <c r="C135" i="3"/>
  <c r="E135" i="3" s="1"/>
  <c r="B137" i="3" l="1"/>
  <c r="D137" i="3" s="1"/>
  <c r="C136" i="3"/>
  <c r="E136" i="3" s="1"/>
  <c r="C137" i="3" l="1"/>
  <c r="E137" i="3" s="1"/>
  <c r="B138" i="3"/>
  <c r="D138" i="3" s="1"/>
  <c r="B139" i="3" l="1"/>
  <c r="D139" i="3" s="1"/>
  <c r="C138" i="3"/>
  <c r="E138" i="3" s="1"/>
  <c r="B140" i="3" l="1"/>
  <c r="D140" i="3" s="1"/>
  <c r="C139" i="3"/>
  <c r="E139" i="3" s="1"/>
  <c r="B141" i="3" l="1"/>
  <c r="D141" i="3" s="1"/>
  <c r="C140" i="3"/>
  <c r="E140" i="3" s="1"/>
  <c r="C141" i="3" l="1"/>
  <c r="E141" i="3" s="1"/>
  <c r="B142" i="3"/>
  <c r="D142" i="3" s="1"/>
  <c r="B143" i="3" l="1"/>
  <c r="D143" i="3" s="1"/>
  <c r="C142" i="3"/>
  <c r="E142" i="3" s="1"/>
  <c r="B144" i="3" l="1"/>
  <c r="D144" i="3" s="1"/>
  <c r="C143" i="3"/>
  <c r="E143" i="3" s="1"/>
  <c r="B145" i="3" l="1"/>
  <c r="D145" i="3" s="1"/>
  <c r="C144" i="3"/>
  <c r="E144" i="3" s="1"/>
  <c r="C145" i="3" l="1"/>
  <c r="E145" i="3" s="1"/>
  <c r="B146" i="3"/>
  <c r="D146" i="3" s="1"/>
  <c r="B147" i="3" l="1"/>
  <c r="D147" i="3" s="1"/>
  <c r="C146" i="3"/>
  <c r="E146" i="3" s="1"/>
  <c r="B148" i="3" l="1"/>
  <c r="D148" i="3" s="1"/>
  <c r="C147" i="3"/>
  <c r="E147" i="3" s="1"/>
  <c r="B149" i="3" l="1"/>
  <c r="D149" i="3" s="1"/>
  <c r="C148" i="3"/>
  <c r="E148" i="3" s="1"/>
  <c r="C149" i="3" l="1"/>
  <c r="E149" i="3" s="1"/>
  <c r="B150" i="3"/>
  <c r="D150" i="3" s="1"/>
  <c r="B151" i="3" l="1"/>
  <c r="D151" i="3" s="1"/>
  <c r="C150" i="3"/>
  <c r="E150" i="3" s="1"/>
  <c r="B152" i="3" l="1"/>
  <c r="D152" i="3" s="1"/>
  <c r="C151" i="3"/>
  <c r="E151" i="3" s="1"/>
  <c r="B153" i="3" l="1"/>
  <c r="D153" i="3" s="1"/>
  <c r="C152" i="3"/>
  <c r="E152" i="3" s="1"/>
  <c r="C153" i="3" l="1"/>
  <c r="E153" i="3" s="1"/>
  <c r="B154" i="3"/>
  <c r="D154" i="3" s="1"/>
  <c r="B155" i="3" l="1"/>
  <c r="D155" i="3" s="1"/>
  <c r="C154" i="3"/>
  <c r="E154" i="3" s="1"/>
  <c r="B156" i="3" l="1"/>
  <c r="D156" i="3" s="1"/>
  <c r="C155" i="3"/>
  <c r="E155" i="3" s="1"/>
  <c r="B157" i="3" l="1"/>
  <c r="D157" i="3" s="1"/>
  <c r="C156" i="3"/>
  <c r="E156" i="3" s="1"/>
  <c r="C157" i="3" l="1"/>
  <c r="E157" i="3" s="1"/>
  <c r="B158" i="3"/>
  <c r="D158" i="3" s="1"/>
  <c r="B159" i="3" l="1"/>
  <c r="D159" i="3" s="1"/>
  <c r="C158" i="3"/>
  <c r="E158" i="3" s="1"/>
  <c r="B160" i="3" l="1"/>
  <c r="D160" i="3" s="1"/>
  <c r="C159" i="3"/>
  <c r="E159" i="3" s="1"/>
  <c r="B161" i="3" l="1"/>
  <c r="D161" i="3" s="1"/>
  <c r="C160" i="3"/>
  <c r="E160" i="3" s="1"/>
  <c r="C161" i="3" l="1"/>
  <c r="E161" i="3" s="1"/>
  <c r="B162" i="3"/>
  <c r="D162" i="3" s="1"/>
  <c r="B163" i="3" l="1"/>
  <c r="D163" i="3" s="1"/>
  <c r="C162" i="3"/>
  <c r="E162" i="3" s="1"/>
  <c r="B164" i="3" l="1"/>
  <c r="D164" i="3" s="1"/>
  <c r="C163" i="3"/>
  <c r="E163" i="3" s="1"/>
  <c r="B165" i="3" l="1"/>
  <c r="C164" i="3"/>
  <c r="E164" i="3" s="1"/>
  <c r="C165" i="3" l="1"/>
  <c r="E165" i="3" s="1"/>
  <c r="D165" i="3"/>
</calcChain>
</file>

<file path=xl/sharedStrings.xml><?xml version="1.0" encoding="utf-8"?>
<sst xmlns="http://schemas.openxmlformats.org/spreadsheetml/2006/main" count="8555" uniqueCount="2539">
  <si>
    <t>Title</t>
  </si>
  <si>
    <t>Publication Year</t>
  </si>
  <si>
    <t>Authors</t>
  </si>
  <si>
    <t>Topic</t>
  </si>
  <si>
    <t>Page_Start</t>
  </si>
  <si>
    <t>Page_End</t>
  </si>
  <si>
    <t>#</t>
  </si>
  <si>
    <t>Conference</t>
  </si>
  <si>
    <t>Growing Steerable Neural Cellular Automata</t>
  </si>
  <si>
    <t>Hardware speculation for robotic plants through cellular automata principle</t>
  </si>
  <si>
    <t>Efficient Exploration using Model-Based Quality-Diversity with Gradients</t>
  </si>
  <si>
    <t>Neural Cellular Automata Can Respond to Signals</t>
  </si>
  <si>
    <t>Daphnia as a living sensor for underwater biohybrid systems</t>
  </si>
  <si>
    <t>Multi – vs. Single – Perceptron Approach for Modelling the Pattern Recognition and Classification in a Multi- Compartment Adaptive Immune System Model</t>
  </si>
  <si>
    <t>Can Artificial Visual Signals Extend Fish’s Perception Fields?</t>
  </si>
  <si>
    <t>Artificial Neural Microcircuits for use in Neuromorphic System Design</t>
  </si>
  <si>
    <t>A p-calculus Model of Supercoiling DNA Circuits</t>
  </si>
  <si>
    <t>Coevolution of Camouflage</t>
  </si>
  <si>
    <t>Biologically Informed Generative Adversarial Networks for Modeling and Prediction</t>
  </si>
  <si>
    <t>The role of the environment in collective perception: A generic complexity measure</t>
  </si>
  <si>
    <t>Self-Replication, Spontaneous Mutations, and Exponential Genetic Drift in Neural Cellular Automata</t>
  </si>
  <si>
    <t>Minimum Equivalence in Random Boolean Networks, Elementary Cellular Automata, and Beyond</t>
  </si>
  <si>
    <t>Canonical Computations in Cellular Automata and Their Application for Reservoir Computing</t>
  </si>
  <si>
    <t>Fitness Agnostic Adaptive Sampling Lexicase Selection</t>
  </si>
  <si>
    <t>The Sun Always Rises: Behavioral Attunement to Abiotic Reins</t>
  </si>
  <si>
    <t>What is a Stimulus? A Computational Perspective on an Associative Learning Model</t>
  </si>
  <si>
    <t>Hierarchical Neural Cellular Automata</t>
  </si>
  <si>
    <t>Towards a Theory of Mind for Artificial Intelligence Agents</t>
  </si>
  <si>
    <t>Environmental variability and network structure determine the optimal plasticity mechanisms in embodied agents</t>
  </si>
  <si>
    <t>The Degeneracy of Control Architectures in Cell Lineages: Implications for Tissue Homeostasis</t>
  </si>
  <si>
    <t>Between you and me: A systematic analysis of mutual social interaction in perceptual crossing agents</t>
  </si>
  <si>
    <t>Synthetic minimal cell with artificial metabolic pathways</t>
  </si>
  <si>
    <t>Spatial Embedding of Edges in a Synaptic Generative Model of C. elegans</t>
  </si>
  <si>
    <t>Lenia in a petri dish: Interactions between organisms and their environment in a Lenia with growth based on resource consumption</t>
  </si>
  <si>
    <t>Ghosts in a Shell: An Immersive Art Experience for ALIFE23</t>
  </si>
  <si>
    <t>Evolving Vestibular Bipedal Locomotion with Spring-Mass Tetrahedra</t>
  </si>
  <si>
    <t>Between Individual Brains and Collective Behavior: Multi-level Emergence in a Group Formation Task</t>
  </si>
  <si>
    <t>Domestication syndrome via indirect selection in simulated cereal grains</t>
  </si>
  <si>
    <t>The enactive account of motivated activity and the hard problem of efficacy (HPE): Artificial life meets the physics of life</t>
  </si>
  <si>
    <t>Inverse Bayesian Feedback Model of True Slime Mold</t>
  </si>
  <si>
    <t>How Excessive Elitism Can Facilitate the Evolution of Morphology and Behavior of Artificial Creatures with NEAT</t>
  </si>
  <si>
    <t>Individuality in Swarm Robots with the Case-study of Kilobots: Noise, Bug, or Feature?</t>
  </si>
  <si>
    <t>Greedy Agents and Interfering Humans - An artwork making humans meddle with a life in the machine</t>
  </si>
  <si>
    <t>Agent Heterogeneity Mediates Extremism in an Adaptive Social Network Model</t>
  </si>
  <si>
    <t>Life-like Behavior of an Oil Droplet in an Aqueous Surfactant Solution: Comparative Analysis with Tetrahymena Movement and Numerical Investigation</t>
  </si>
  <si>
    <t>Embodied Time Perception: Effects of Time Delay on Hand Motion and Time Perception in Virtual Environments</t>
  </si>
  <si>
    <t>Exploring the Emergent Behaviors of Particle Lenia: A Perturbation-Response Analysis for Computational Agency</t>
  </si>
  <si>
    <t>aRtificiaL death: learning from stories of failure</t>
  </si>
  <si>
    <t>Development of Concept Representation of Behavior through Mimicking and Imitation in a Humanoid Robot Alter3</t>
  </si>
  <si>
    <t>Implementation of Lenia as a Reaction-Diffusion system</t>
  </si>
  <si>
    <t>A Comparative Study of Brain Reproduction Methods for Morphologically Evolving Robots</t>
  </si>
  <si>
    <t>Quantifying higher-order entropy production in organized nonequilibrium states</t>
  </si>
  <si>
    <t>Proprioceptive Drift Can Be Caused by Simple Sensory Prediction</t>
  </si>
  <si>
    <t>Emergent Naming System in an Unstructured Environment: a Shortest-Path Discovery Case Study</t>
  </si>
  <si>
    <t>Robustness of the Infomax Network for View Based Navigation of Long Routes</t>
  </si>
  <si>
    <t>MODES Analysis of Prediction Games</t>
  </si>
  <si>
    <t>Evolving Dynamic Collective Behaviors by Minimizing Surprise</t>
  </si>
  <si>
    <t>Decomposing Viability Space</t>
  </si>
  <si>
    <t>Exploring the relation of variational inference and integrated information in a minimal model</t>
  </si>
  <si>
    <t>A Simple Sparsity Function to Promote Evolutionary Search</t>
  </si>
  <si>
    <t>Spatial community structure impedes language amalgamation in a population-based iterated learning model</t>
  </si>
  <si>
    <t>Developmental Graph Cellular Automata</t>
  </si>
  <si>
    <t>Optical Herding of Swarms: Toward Universal Control Algorithms for Microscopic Collectives</t>
  </si>
  <si>
    <t>Evolution of symbiotic task-based digital genomes: ectosymbiosis hastens the evolution of endosymbiosis</t>
  </si>
  <si>
    <t>In silico morphogenetic engineering with differentiable programming</t>
  </si>
  <si>
    <t>Locally adaptive cellular automata for goal-oriented self-organization</t>
  </si>
  <si>
    <t>A Markovian framework to study the evolution of complexity and resilience in chemical organizations</t>
  </si>
  <si>
    <t>Exploring the Rich Behaviour of Developmental Graph Cellular Automata</t>
  </si>
  <si>
    <t>Evolving Music from a Self-Organising Nanomagnetic Orchestra</t>
  </si>
  <si>
    <t>Dynamics of niche construction in adaptable populations evolving in diverse environments</t>
  </si>
  <si>
    <t>Go by Its Name: Evolution and Analysis of Conceptual Referential Communication</t>
  </si>
  <si>
    <t>Social Neural Network Soups with Surprise Minimization</t>
  </si>
  <si>
    <t>Toward cultures of rhythm in legged robots</t>
  </si>
  <si>
    <t>Arbitrary Order Meta-Learning with Simple Population-Based Evolution</t>
  </si>
  <si>
    <t>On the Existence of Information Bottlenecks in Living and Non-Living Systems</t>
  </si>
  <si>
    <t>Does Kinematic-Based Pretraining Improve Evolution of Quadrupedal Gaits?</t>
  </si>
  <si>
    <t>Searching in the Dark: Evolving Biobot Swarm Compositions to Efficiently Explore Obstructed Environments</t>
  </si>
  <si>
    <t>Potentiating Mutations Facilitate the Evolution of Associative Learning in Digital Organisms</t>
  </si>
  <si>
    <t>Open-Ended Library Learning in Unsupervised Program Synthesis</t>
  </si>
  <si>
    <t>Interaction Strengths Affect Whether Ecological Networks Promote the Initiation of Egalitarian Major Transitions</t>
  </si>
  <si>
    <t>Multimodal Plastic Body and Peripersonal Space Representation Developed Through Learning of Visuo-Tactile- Proprioceptive Sensations</t>
  </si>
  <si>
    <t>Frame by frame? A contrasting research framework for time experience</t>
  </si>
  <si>
    <t>Effects of compliant and structural parts in evolved modular robots</t>
  </si>
  <si>
    <t>Real-time Evolution of Multicellularity with Artificial Gene Regulation</t>
  </si>
  <si>
    <t>The Role of Abiotic Parameters in the Promotion of Egalitarian Major Evolutionary Transitions</t>
  </si>
  <si>
    <t>Toward Phylogenetic Inference of Evolutionary Dynamics at Scale</t>
  </si>
  <si>
    <t>Towards Self-Assembling Artificial Neural Networks through Neural Developmental Programs</t>
  </si>
  <si>
    <t>A Robust Programmable Replicator for an Indefinitely Scalable Machine</t>
  </si>
  <si>
    <t>EINCASM: Emergent Intelligence in Neural Cellular Automaton Slime Molds</t>
  </si>
  <si>
    <t>An Optimized Search Strategy may be Induced by the Stochastic Response to Previously Visited Locations</t>
  </si>
  <si>
    <t>Dispelling Ghosts: Observations on Life and Mind</t>
  </si>
  <si>
    <t>Competitive Exclusion in an Artificial Foraging Ecosystem</t>
  </si>
  <si>
    <t>An Empirical Model of Goldfish Escaping Strategy</t>
  </si>
  <si>
    <t>Investigating Goldfish’s Behaviour Under Different Visual Stimuli</t>
  </si>
  <si>
    <t>The Impact of Agent Density and Environmental Factors on Target Tracking Swarms</t>
  </si>
  <si>
    <t>Binding affinity distributions drive adaptation in GRN evolution</t>
  </si>
  <si>
    <t>Collective Cargo Transport and Sorting with Molecular Swarms</t>
  </si>
  <si>
    <t>Experimental evolution of music styles using automatic composition models</t>
  </si>
  <si>
    <t>Characterizing the Role of Homeostatic Plasticity in Central Pattern Generators</t>
  </si>
  <si>
    <t>A Computational Method to Support Chemical Product Design Based on Multi-objective Optimisation and Graph Transformers</t>
  </si>
  <si>
    <t>Evolving Folding Bodies and Brains in Origami Robots</t>
  </si>
  <si>
    <t>Evolution of Pleiotropy and Epistasis in a Gene Regulatory Network</t>
  </si>
  <si>
    <t>Bayesian ghosts in a machine?</t>
  </si>
  <si>
    <t>Network simulation of depression as a complex system with treatment components</t>
  </si>
  <si>
    <t>Towards open-ended evolution based on CVT-MAP-Elites with dynamic switching between feature spaces</t>
  </si>
  <si>
    <t>Reformalizing the notion of autonomy as closure through category theory as an arrow-first mathematics</t>
  </si>
  <si>
    <t>Computational evolution of gene circuit topologies to meet design requirements</t>
  </si>
  <si>
    <t>Exploring Multi-Level Inter-Scale Information Flow in Large-Scale Boids Model</t>
  </si>
  <si>
    <t>Engineering Surrogate Models for Boid Systems</t>
  </si>
  <si>
    <t>Recognition of Behavioural Intention in Repeated Games using Machine Learning</t>
  </si>
  <si>
    <t>Emergent rewards in open-ended systems</t>
  </si>
  <si>
    <t>A Chemical Compiler for the Synthesis of Branched Oligomers on Standardized Chemical Reaction Structures</t>
  </si>
  <si>
    <t>Exorcizing the “Ghost” in the Machine: A Wetware Route to Explore Embodied Cognition</t>
  </si>
  <si>
    <t>Identifying molecular selection using Assembly Theory and closed-loop experiments</t>
  </si>
  <si>
    <t>Decentralized Control and Morphological Evolution of 2D Virtual Creatures</t>
  </si>
  <si>
    <t>The Role of Disequilibrium in Evolutionary Discovery</t>
  </si>
  <si>
    <t>Finding Sparse Initialisations using Neuroevolutionary Ticket Search (NeTS)</t>
  </si>
  <si>
    <t>The Nexican Stand-Off: Social Contracts and Popular Legitimacy in n-Player High Stakes Resource Competition Games</t>
  </si>
  <si>
    <t>Evolving Collective AI: Simulation of Ants Communicating via Chemicals</t>
  </si>
  <si>
    <t>Modeling Evolutionary Development with Indirect Encodings on Dynamic NK Fitness Landscapes</t>
  </si>
  <si>
    <t>An Ising-like model for language evolution</t>
  </si>
  <si>
    <t>Evolutionary Algorithms in the Light of SGD: Limit Equivalence, Minima Flatness and Transfer Learning</t>
  </si>
  <si>
    <t>Emergence of Differentiation of Deterministic/Stochastic Behavior in Ants’ Collectives</t>
  </si>
  <si>
    <t>Design and preliminary results of a joint metamemory experiment for the evolution of co-representation</t>
  </si>
  <si>
    <t>Optimisation of hybrid institutional incentives for cooperation in finite populations</t>
  </si>
  <si>
    <t>How Individual Heterogeneity impacts Spreading Dynamics in Urban Proximity Networks: A case-study of virus spreading in the city of Brussels</t>
  </si>
  <si>
    <t>To Comply or Not: A Social Dynamics Analysis of Institutional Reward and Punishment for Commitment Compliance</t>
  </si>
  <si>
    <t>Examining the Role of Incentives in Scholarly Publishing with Multi-Agent Reinforcement Learning</t>
  </si>
  <si>
    <t>A tale of two Regulatory Markets: the role of institutional incentives in supporting sustainable Regulatory Markets for future AI systems</t>
  </si>
  <si>
    <t>Simulating Disease Spread During Disaster Scenarios</t>
  </si>
  <si>
    <t>Simulating the Evolutionary Response of a Viral Pandemic to Behaviour Change</t>
  </si>
  <si>
    <t>The Effect of Noise on the Emergence of Continuous Norms and its Evolutionary Dynamics</t>
  </si>
  <si>
    <t>Multi-agent City Expansion With Land Use and Transport</t>
  </si>
  <si>
    <t>The Clash of Agents’Worlds: Simulation Experiments for Investigating the Case of Encounters Between Agents With Different Social Ontogenies</t>
  </si>
  <si>
    <t>Free Lunch in Evolutionary Embodied Computation in Modular Robotics</t>
  </si>
  <si>
    <t>Designing Emergence in Games</t>
  </si>
  <si>
    <t>Ecosystem of clusters formed by self-propelled droplet surfers</t>
  </si>
  <si>
    <t>Flow-Lenia: Towards open-ended evolution in cellular automata through mass conservation and parameter localization</t>
  </si>
  <si>
    <t>Playing and Being Played by the Drums</t>
  </si>
  <si>
    <t>Is ChatGPT Really Disembodied?</t>
  </si>
  <si>
    <t>From Basic Empathy to Basic Trust in Human-Robot Relation: A Phenomenological Proposal</t>
  </si>
  <si>
    <t>Detecting and Classifying Degradation in Robotic Swarms: An Experimental Study</t>
  </si>
  <si>
    <t>Free will and algorithms: a typical androrithm</t>
  </si>
  <si>
    <t>Timescales, Levels of Organization, and Multi-objective Agents</t>
  </si>
  <si>
    <t>A Naturalised Account of Planning Across Intelligent Systems</t>
  </si>
  <si>
    <t>Social Emotional Valence for Regulating Empathy in Active Inference</t>
  </si>
  <si>
    <t>Exploring Intervention in Co-Evolving Deliberative Neuro-Evolution with Reflective Governance for the Sustainable Foraging Problem</t>
  </si>
  <si>
    <t>Of typewriters and PCs</t>
  </si>
  <si>
    <t>The Cognitive Archaeology of Sociocultural Lifeforms</t>
  </si>
  <si>
    <t>Innovation dynamics in multi-scalar systems of cities</t>
  </si>
  <si>
    <t>Emergence in artificial life</t>
  </si>
  <si>
    <t>Digihive: Artificial chemistry environment for modeling of self-organization phenomena</t>
  </si>
  <si>
    <t>How lévy flights triggered by the presence of defectors affect evolution of cooperation in spatial games</t>
  </si>
  <si>
    <t>Interdependent self-organizing mechanisms for cooperative survival</t>
  </si>
  <si>
    <t>An ansatz for computational undecidability in RNA automata</t>
  </si>
  <si>
    <t>Morphological development at the evolutionary timescale: Robotic developmental evolution</t>
  </si>
  <si>
    <t>Computation by convective logic gates and thermal communication</t>
  </si>
  <si>
    <t>Monte carlo physarum machine: Characteristics of pattern formation in continuous stochastic transport networks</t>
  </si>
  <si>
    <t>From dynamics to novelty: An agent-based model of the economic system</t>
  </si>
  <si>
    <t>James Stovold</t>
  </si>
  <si>
    <t>Craig Reynolds</t>
  </si>
  <si>
    <t>Anagha Savit</t>
  </si>
  <si>
    <t>Lana Sinapayen</t>
  </si>
  <si>
    <t>Jory Schossau and Arend Hintze</t>
  </si>
  <si>
    <t>Jeffrey Ventrella</t>
  </si>
  <si>
    <t>Iori Tani</t>
  </si>
  <si>
    <t>Hiroki Kojima and Takashi Ikegami</t>
  </si>
  <si>
    <t>Arthur Penty and Gunnar Tufte</t>
  </si>
  <si>
    <t>Dylan Cope</t>
  </si>
  <si>
    <t>David H. Ackley</t>
  </si>
  <si>
    <t>Tomoko Sakiyama</t>
  </si>
  <si>
    <t>Inman Harvey</t>
  </si>
  <si>
    <t>John C. Stevenson</t>
  </si>
  <si>
    <t>Richard Bailey</t>
  </si>
  <si>
    <t>Luisa Damiano and Pasquale Stano</t>
  </si>
  <si>
    <t>Vincent Ragusa and Clifford Bohm</t>
  </si>
  <si>
    <t>Conor Houghton</t>
  </si>
  <si>
    <t>Yusuke Yamato, Reiji Suzuki and Takaya Arita</t>
  </si>
  <si>
    <t>The Anh Han</t>
  </si>
  <si>
    <t>Matthew Egbert</t>
  </si>
  <si>
    <t>Simon McGregor</t>
  </si>
  <si>
    <t>Abootaleb Safdari</t>
  </si>
  <si>
    <t>Cristiano Calì</t>
  </si>
  <si>
    <t>Charles Wan</t>
  </si>
  <si>
    <t>Federico Pigozzi</t>
  </si>
  <si>
    <t>Carlos Gershenson</t>
  </si>
  <si>
    <t>General Conference</t>
  </si>
  <si>
    <t>Accepted oral presentations</t>
  </si>
  <si>
    <t>Accepted poster presentations</t>
  </si>
  <si>
    <t>Special Session: Agent-Based Modelling of Human Behaviour (ABMHuB’23)</t>
  </si>
  <si>
    <t>Special session: Vita Ludens: Playfulness in Living Systems</t>
  </si>
  <si>
    <t>Special session: (In)human Values And Artificial Agency</t>
  </si>
  <si>
    <t>Special Session: ALife And Society VII</t>
  </si>
  <si>
    <t>Special Session: Artificial Life Journal Session</t>
  </si>
  <si>
    <t>Ettore Randazzo, Alexander Mordvintsev, Craig Fouts</t>
  </si>
  <si>
    <t>Marília Lyra Bergamo, Sandro Benigno</t>
  </si>
  <si>
    <t>Bryan Lim, Manon Flageat, Antoine Cully</t>
  </si>
  <si>
    <t>Wiktoria Rajewicz, Thomas Schmickl, Ronald Thenius</t>
  </si>
  <si>
    <t>Stephan Scheidegger, Udo S. Gaipl, Rudolf M. Füchslin</t>
  </si>
  <si>
    <t>Zhihua Song, Daoyuan Lin, Tingyu Chen, Yangyang Xu, Wen-chi Yang</t>
  </si>
  <si>
    <t>Andrew Walter, Shimeng Wu, Andy Tyrrell, Liam McDaid, Malachy McElholm, Nidhin Thandassery Sumithran, Jim Harkin, Martin A. Trefzer</t>
  </si>
  <si>
    <t>Penn Faulkner Rainford, Aalap Mogre, Victor Velasco-Berrelleza, Chares J Dorman, Sarah Harris, Carsten Kroeger, Susan Stepney</t>
  </si>
  <si>
    <t>Dari Trendafilov, Ahmed Almansoori, Timoteo Carletti, Elio Tuci</t>
  </si>
  <si>
    <t>Tom Eivind Glover, Ruben Jahren, Ola Huse Ramstad, Stefano Nichele</t>
  </si>
  <si>
    <t>Trym A. E. Lindell, Barbora Hudcová, Stefano Nichele</t>
  </si>
  <si>
    <t>Jared M. Moore, Adam Stanton</t>
  </si>
  <si>
    <t>Eden Forbes, Randall Beer</t>
  </si>
  <si>
    <t>Rui Cardoso, Niall Donnelly, Lucy Cheke, Edward Keedwell, Murray Shanahan</t>
  </si>
  <si>
    <t>Ritu Pande, Daniele Grattarola</t>
  </si>
  <si>
    <t>Jory Schossau, Arend Hintze</t>
  </si>
  <si>
    <t>Emmanouil Giannakakis, Sina Khajehabdollahi, Anna Levina</t>
  </si>
  <si>
    <t>Gabriel J. Severino, Zachary Laborde, Ann-Sophie Barwich</t>
  </si>
  <si>
    <t>Gabriel J. Severino, Haily Merritt, Eduardo J. Izquierdo</t>
  </si>
  <si>
    <t>Minoru Kurisu, Peter Walde, Masayuki Imai</t>
  </si>
  <si>
    <t>Zachary Laborde, Eduardo J. Izquierdo</t>
  </si>
  <si>
    <t>Reiji Suzuki, Kenta Asakura, Takaya Arita</t>
  </si>
  <si>
    <t>Alyssa Adams, Oneris Rico, Nicholas Guttenberg, Olaf Witkowski</t>
  </si>
  <si>
    <t>Ekaterina Sangati, Federico Sangati, Yi-Shan Cheng, Acer Yu-Chan Chang</t>
  </si>
  <si>
    <t>Christopher Marriott, Jobran Chebib</t>
  </si>
  <si>
    <t>Tom Froese, Georgii Karelin</t>
  </si>
  <si>
    <t>Siti Aisyah Binti Jaafar, Reiji Suzuki, Satoru Komori, Takaya Arita</t>
  </si>
  <si>
    <t>Mohsen Raoufi, Pawel Romanczuk, Heiko Hamann</t>
  </si>
  <si>
    <t>Tatsuo Unemi, Daniel Bisig, Philippe Kocher</t>
  </si>
  <si>
    <t>Seth Bullock, Hiroki Sayama</t>
  </si>
  <si>
    <t>Riku Adachi, Hiroki Kojima, Takashi Ikegami</t>
  </si>
  <si>
    <t>Atsushi Masumori, Takashi Ikegami</t>
  </si>
  <si>
    <t>Kazuya Horibe, Keisuke Suzuki, Takato Horii, Hiroshi Ishiguro</t>
  </si>
  <si>
    <t>Marcin Korecki, Cesare Carissimo, Tanner Lund</t>
  </si>
  <si>
    <t>Takahide Yoshida, Atsushi Masumori, Norihiro Maruyama, John Smith, Takashi Ikegami</t>
  </si>
  <si>
    <t>Hiroki Kojima, Takashi Ikegami</t>
  </si>
  <si>
    <t>Jie Luo, Carlo Longhi, Agoston E. Eiben</t>
  </si>
  <si>
    <t>Miguel Aguilera, Artemy Kolchinsky</t>
  </si>
  <si>
    <t>Kohei Harada, Wataru Noguchi, Hiroyuki Iizuka, Masahito Yamamoto</t>
  </si>
  <si>
    <t>Nicolas Cambier, A.E. Eiben, Eliseo Ferrante</t>
  </si>
  <si>
    <t>Amany Azevedo Amin, Efstathios Kagioulis, Alexander Dewar, Norbert Domcsek, Thomas Nowotny, Paul Graham, Andrew Philippides</t>
  </si>
  <si>
    <t>Thomas Willkens, Jordan Pollack</t>
  </si>
  <si>
    <t>Tanja Katharina Kaiser, Christopher Kluth, Heiko Hamann</t>
  </si>
  <si>
    <t>Connor McShaffrey, Randall Beer</t>
  </si>
  <si>
    <t>Nadine Spychala, Miguel Aguilera</t>
  </si>
  <si>
    <t>Cliff Bohm, Arend Hintze, Jory Schossau</t>
  </si>
  <si>
    <t>George Sains, Conor Houghton, Seth Bullock</t>
  </si>
  <si>
    <t>Riversdale Waldegrave, Susan Stepney, Martin Trefzer</t>
  </si>
  <si>
    <t>David Fielding, Imogen Taylor, Simon Jones, Sabine Hauert, Edmund Hunt</t>
  </si>
  <si>
    <t>Kiara Johnson, Sylvie Dirkswager, Anya Vostinar</t>
  </si>
  <si>
    <t>Francesco Mottes, Ramya Deshpande, Alma Dal Co, Michael Brenner</t>
  </si>
  <si>
    <t>Sina Khajehabdollahi, Emmanouil Giannakakis, Victor Buendia, Georg Martius, Anna Levina</t>
  </si>
  <si>
    <t>Tomas Veloz, Simon Hegele</t>
  </si>
  <si>
    <t>Arthur Penty, Gunnar Tufte</t>
  </si>
  <si>
    <t>Eleni Nisioti, Clément Moulin-Frier</t>
  </si>
  <si>
    <t>Siyu Yao, Joshua Nunley, Eduardo J Izquierdo</t>
  </si>
  <si>
    <t>Maximilian Zorn, Steffen Illium, Thomy Phan, Tanja Katharina Kaiser, Claudia Linnhoff-Popien, Thomas Gabor</t>
  </si>
  <si>
    <t>Alex Szorkovszky, Frank Veenstra, Kyrre Glette</t>
  </si>
  <si>
    <t>Chris Lu, Sebastian Towers, Jakob Foerster</t>
  </si>
  <si>
    <t>Michael Crosscombe, Hiroki Sato</t>
  </si>
  <si>
    <t>Kevin J. Ayala Ahumada Jared M. Moore, Anthony J. Clark</t>
  </si>
  <si>
    <t>Piper Welch, Caitlin Grasso, Gizem Gumuskaya, Michael Levin, Josh Bongard</t>
  </si>
  <si>
    <t>Austin Ferguson, Charles Ofria</t>
  </si>
  <si>
    <t>Claire Glanois, Shyam Sudhakaran, Elias Najarro, Sebastian Risi</t>
  </si>
  <si>
    <t>Sydney Leither, Max Foreback, David A. Baum, Emily Dolson</t>
  </si>
  <si>
    <t>Wataru Noguchi, Hiroyuki Iizuka, Masahito Yamamoto</t>
  </si>
  <si>
    <t>Fernando Rodriguez, Phil Husbands, Anindya Gosh, Ben White</t>
  </si>
  <si>
    <t>Emma Stensby Norstein, Frank Veenstra, Kai Olav Ellefsen, Tønnes Nygaard, Kyrre Glette</t>
  </si>
  <si>
    <t>Max Foreback, Sydney Leither, David A. Baum, Emily Dolson</t>
  </si>
  <si>
    <t>Matthew Moreno, Emily Dolson, Santiago Rodriguez Papa</t>
  </si>
  <si>
    <t>Elias Najarro, Shyam Sudhakaran, Sebastian Risi</t>
  </si>
  <si>
    <t>Aidan Barbieux, Rodrigo Canaan</t>
  </si>
  <si>
    <t>Ziyue Chu, Jinxin Yang, Wen-chi Yang</t>
  </si>
  <si>
    <t>Zhihua Song, Tingyu Chen, Yangyang Xu, Wen-chi Yang</t>
  </si>
  <si>
    <t>Hian Lee Kwa, Julien Philippot, Roland Bouffanais</t>
  </si>
  <si>
    <t>Yashwanth Lagisetty, Satpreet Singh, Ankit Patel</t>
  </si>
  <si>
    <t>Nathanael Aubert-Kato, Geoff Nitschke, Ibuki Kawamata, Akira Kakugo</t>
  </si>
  <si>
    <t>Eita Nakamura, Hitomi Kaneko, Takayuki Itoh, Kunihiko Kaneko</t>
  </si>
  <si>
    <t>Lindsay Stolting, Randall D. Beer, Eduardo J. Izquierdo</t>
  </si>
  <si>
    <t>Flavio Soares Correa da Silva, Geoff Nitschke, Bilal Aslan</t>
  </si>
  <si>
    <t>Rhett Flanagan, Geoff Nitschke</t>
  </si>
  <si>
    <t>Priyanka Mehra, Arend Hintze</t>
  </si>
  <si>
    <t>Martin Biehl, Nathaniel Virgo</t>
  </si>
  <si>
    <t>Takumi Omizu, Yoshihiko Kunisato</t>
  </si>
  <si>
    <t>Koki Usui, Reiji Suzuki, Takaya Arita</t>
  </si>
  <si>
    <t>Ryuzo Hirota, Hayato Saigo, Shigeru Taguchi</t>
  </si>
  <si>
    <t>Lewis Grozinger, Ángel Goñi-Moreno</t>
  </si>
  <si>
    <t>Jan von Pichowski, Sebastian von Mammen</t>
  </si>
  <si>
    <t>Alessandro Di Stefano, Chrisina Jayne, Claudio Angione, The Anh Han</t>
  </si>
  <si>
    <t>Mathias S. Weyland, Dandolo Flumini, Johannes J. Schneider, Alessia Faggian, Aitor Patiño Diaz, Rudolf M. Füchslin</t>
  </si>
  <si>
    <t>Luisa Damiano, Pasquale Stano</t>
  </si>
  <si>
    <t>Amit Kahana, Michael Jirasek, Silke Asche, Abhishek Sharma, Stuart Marshall, Leroy Cronin</t>
  </si>
  <si>
    <t>Frank Veenstra, Alex Szorkovszky, Kyrre Glette</t>
  </si>
  <si>
    <t>Vincent Ragusa, Clifford Bohm</t>
  </si>
  <si>
    <t>Alex Jackson, Nandi Schoots, Amin Ahantab, Michael Luck, Elizabeth Black</t>
  </si>
  <si>
    <t>Matthew Scott, Jeremy Pitt</t>
  </si>
  <si>
    <t>Ryosuke Takata, Yujin Tang, Yingtao Tian, Norihiro Maruyama, Hiroki Kojima, Takashi Ikegami</t>
  </si>
  <si>
    <t>Jacob Ashworth, Julian Fiorito, Jason Yoder</t>
  </si>
  <si>
    <t>Andrei Kucharavy, Rachid Guerraoui, Ljiljana Dolamic</t>
  </si>
  <si>
    <t>Norihiro Maruyama, Michael Crosscombe, Shigeto Dobata, Takashi Ikegami</t>
  </si>
  <si>
    <t>Yusuke Yamato, Reiji Suzuki, Takaya Arita</t>
  </si>
  <si>
    <t>Manh Hong Duong, Calina M. Durbac, The Anh Han</t>
  </si>
  <si>
    <t>Yara Khaluf, Arne Vandenberghe</t>
  </si>
  <si>
    <t>Giulia Bernardi, Eric Medvet, Alberto Bartoli, Andrea De Lorenzo</t>
  </si>
  <si>
    <t>Paolo Bova, Alessandro Di Stefano, The Anh Han</t>
  </si>
  <si>
    <t>Shiyu Jiang, Hee Joong Kim, Fabio Tanaka, Claus Aranha, Anna Bogdanova, Kimia Ghobadi, Anton Dahbura</t>
  </si>
  <si>
    <t>Martin Hinsch, Eric Silverman, David Robertson</t>
  </si>
  <si>
    <t>Stavros Anagnou, Daniel Polani, Christoph Salge</t>
  </si>
  <si>
    <t>Luiz Fernando Silva Eugênio dos Santos, Claus Aranha, André Carlos Ponce de Leon Ferreira de Carvalho</t>
  </si>
  <si>
    <t>Georgina Montserrat Reséndiz-Benhumea, Jesús M. Siqueiros-García, Carlos Gershenson, Gabriel Ramos Fernández, Katya Rodriguez-Vazquez</t>
  </si>
  <si>
    <t>Heiko Hamann, Thomas Schmickl</t>
  </si>
  <si>
    <t>Nicholas Guttenberg, L. B. Soros</t>
  </si>
  <si>
    <t>Richard J.G. Loeffler, Shinpei Tanaka, Silvia Holler, Martin M. Hanczyc</t>
  </si>
  <si>
    <t>Erwan Plantec, Gautier Hamon, Mayalen Etcheverry, Pierre-Yves Oudeyer, Clément Moulin-Frier, Bert Wang-Chak Chan</t>
  </si>
  <si>
    <t>Seth Bullock, Jan Noyes, Victoria Steane, Chris Bennett, Wenwen Gao, Sophie Hart, Elliott Hogg, Debora Zanatto</t>
  </si>
  <si>
    <t>Nora Ammann, Clem von Stengel</t>
  </si>
  <si>
    <t>Tadayuki Matsumura, Kanako Esaki, Shunsuke Minusa, Yang Shao, Chihiro Yoshimura, Hiroyuki Mizuno</t>
  </si>
  <si>
    <t>Aishwaryaprajna, Peter Lewis</t>
  </si>
  <si>
    <t>Avel Guénin-Carlut, Ben White, Lorena Sganzerla</t>
  </si>
  <si>
    <t>Juste Raimbault, Denise Pumain</t>
  </si>
  <si>
    <t>Rafał Sienkiewicz, Wojciech J˛edruch</t>
  </si>
  <si>
    <t>Genki Ichinose, Daiki Miyagawa, Erika Chiba, Hiroki Sayama</t>
  </si>
  <si>
    <t>Adam J. Svahn, Mikhail Prokopenko</t>
  </si>
  <si>
    <t>Fabien CY Benureau, Jun Tani</t>
  </si>
  <si>
    <t>Stuart Bartlett, Andrew K Gao, Yuk L Yung</t>
  </si>
  <si>
    <t>Oskar Elek, Joseph N Burchett, J Xavier Prochaska, Angus G Forbes</t>
  </si>
  <si>
    <t xml:space="preserve">Gustavo Recio, Wolfgang Banzhaf, Roger White </t>
  </si>
  <si>
    <t>Ettore Randazzo</t>
  </si>
  <si>
    <t>Marília Lyra Bergamo</t>
  </si>
  <si>
    <t>Bryan Lim</t>
  </si>
  <si>
    <t>Wiktoria Rajewicz</t>
  </si>
  <si>
    <t>Stephan Scheidegger</t>
  </si>
  <si>
    <t>Zhihua Song</t>
  </si>
  <si>
    <t>Andrew Walter</t>
  </si>
  <si>
    <t>Penn Faulkner Rainford</t>
  </si>
  <si>
    <t>Dari Trendafilov</t>
  </si>
  <si>
    <t>Tom Eivind Glover</t>
  </si>
  <si>
    <t>Trym A. E. Lindell</t>
  </si>
  <si>
    <t>Jared M. Moore</t>
  </si>
  <si>
    <t>Eden Forbes</t>
  </si>
  <si>
    <t>Rui Cardoso</t>
  </si>
  <si>
    <t>Ritu Pande</t>
  </si>
  <si>
    <t>Jory Schossau</t>
  </si>
  <si>
    <t>Emmanouil Giannakakis</t>
  </si>
  <si>
    <t>Gabriel J. Severino</t>
  </si>
  <si>
    <t>Minoru Kurisu</t>
  </si>
  <si>
    <t>Zachary Laborde</t>
  </si>
  <si>
    <t>Reiji Suzuki</t>
  </si>
  <si>
    <t>Alyssa Adams</t>
  </si>
  <si>
    <t>Ekaterina Sangati</t>
  </si>
  <si>
    <t>Christopher Marriott</t>
  </si>
  <si>
    <t>Tom Froese</t>
  </si>
  <si>
    <t>Siti Aisyah Binti Jaafar</t>
  </si>
  <si>
    <t>Mohsen Raoufi</t>
  </si>
  <si>
    <t>Tatsuo Unemi</t>
  </si>
  <si>
    <t>Seth Bullock</t>
  </si>
  <si>
    <t>Riku Adachi</t>
  </si>
  <si>
    <t>Atsushi Masumori</t>
  </si>
  <si>
    <t>Kazuya Horibe</t>
  </si>
  <si>
    <t>Marcin Korecki</t>
  </si>
  <si>
    <t>Takahide Yoshida</t>
  </si>
  <si>
    <t>Hiroki Kojima</t>
  </si>
  <si>
    <t>Jie Luo</t>
  </si>
  <si>
    <t>Miguel Aguilera</t>
  </si>
  <si>
    <t>Kohei Harada</t>
  </si>
  <si>
    <t>Nicolas Cambier</t>
  </si>
  <si>
    <t>Amany Azevedo Amin</t>
  </si>
  <si>
    <t>Thomas Willkens</t>
  </si>
  <si>
    <t>Tanja Katharina Kaiser</t>
  </si>
  <si>
    <t>Connor McShaffrey</t>
  </si>
  <si>
    <t>Nadine Spychala</t>
  </si>
  <si>
    <t>Cliff Bohm</t>
  </si>
  <si>
    <t>George Sains</t>
  </si>
  <si>
    <t>Riversdale Waldegrave</t>
  </si>
  <si>
    <t>David Fielding</t>
  </si>
  <si>
    <t>Kiara Johnson</t>
  </si>
  <si>
    <t>Francesco Mottes</t>
  </si>
  <si>
    <t>Sina Khajehabdollahi</t>
  </si>
  <si>
    <t>Tomas Veloz</t>
  </si>
  <si>
    <t>Arthur Penty</t>
  </si>
  <si>
    <t>Eleni Nisioti</t>
  </si>
  <si>
    <t>Siyu Yao</t>
  </si>
  <si>
    <t>Maximilian Zorn</t>
  </si>
  <si>
    <t>Alex Szorkovszky</t>
  </si>
  <si>
    <t>Chris Lu</t>
  </si>
  <si>
    <t>Michael Crosscombe</t>
  </si>
  <si>
    <t>Kevin J. Ayala Ahumada Jared M. Moore</t>
  </si>
  <si>
    <t>Piper Welch</t>
  </si>
  <si>
    <t>Austin Ferguson</t>
  </si>
  <si>
    <t>Claire Glanois</t>
  </si>
  <si>
    <t>Sydney Leither</t>
  </si>
  <si>
    <t>Wataru Noguchi</t>
  </si>
  <si>
    <t>Fernando Rodriguez</t>
  </si>
  <si>
    <t>Emma Stensby Norstein</t>
  </si>
  <si>
    <t>Max Foreback</t>
  </si>
  <si>
    <t>Matthew Moreno</t>
  </si>
  <si>
    <t>Elias Najarro</t>
  </si>
  <si>
    <t>Aidan Barbieux</t>
  </si>
  <si>
    <t>Ziyue Chu</t>
  </si>
  <si>
    <t>Hian Lee Kwa</t>
  </si>
  <si>
    <t>Yashwanth Lagisetty</t>
  </si>
  <si>
    <t>Nathanael Aubert-Kato</t>
  </si>
  <si>
    <t>Eita Nakamura</t>
  </si>
  <si>
    <t>Lindsay Stolting</t>
  </si>
  <si>
    <t>Flavio Soares Correa da Silva</t>
  </si>
  <si>
    <t>Rhett Flanagan</t>
  </si>
  <si>
    <t>Priyanka Mehra</t>
  </si>
  <si>
    <t>Martin Biehl</t>
  </si>
  <si>
    <t>Takumi Omizu</t>
  </si>
  <si>
    <t>Koki Usui</t>
  </si>
  <si>
    <t>Ryuzo Hirota</t>
  </si>
  <si>
    <t>Lewis Grozinger</t>
  </si>
  <si>
    <t>Jan von Pichowski</t>
  </si>
  <si>
    <t>Alessandro Di Stefano</t>
  </si>
  <si>
    <t>Mathias S. Weyland</t>
  </si>
  <si>
    <t>Luisa Damiano</t>
  </si>
  <si>
    <t>Amit Kahana</t>
  </si>
  <si>
    <t>Frank Veenstra</t>
  </si>
  <si>
    <t>Vincent Ragusa</t>
  </si>
  <si>
    <t>Alex Jackson</t>
  </si>
  <si>
    <t>Matthew Scott</t>
  </si>
  <si>
    <t>Ryosuke Takata</t>
  </si>
  <si>
    <t>Jacob Ashworth</t>
  </si>
  <si>
    <t>Andrei Kucharavy</t>
  </si>
  <si>
    <t>Norihiro Maruyama</t>
  </si>
  <si>
    <t>Yusuke Yamato</t>
  </si>
  <si>
    <t>Manh Hong Duong</t>
  </si>
  <si>
    <t>Yara Khaluf</t>
  </si>
  <si>
    <t>Giulia Bernardi</t>
  </si>
  <si>
    <t>Paolo Bova</t>
  </si>
  <si>
    <t>Shiyu Jiang</t>
  </si>
  <si>
    <t>Martin Hinsch</t>
  </si>
  <si>
    <t>Stavros Anagnou</t>
  </si>
  <si>
    <t>Luiz Fernando Silva Eugênio dos Santos</t>
  </si>
  <si>
    <t>Georgina Montserrat Reséndiz-Benhumea</t>
  </si>
  <si>
    <t>Heiko Hamann</t>
  </si>
  <si>
    <t>Nicholas Guttenberg</t>
  </si>
  <si>
    <t>Richard J.G. Loeffler</t>
  </si>
  <si>
    <t>Erwan Plantec</t>
  </si>
  <si>
    <t>Nora Ammann</t>
  </si>
  <si>
    <t>Tadayuki Matsumura</t>
  </si>
  <si>
    <t>Aishwaryaprajna</t>
  </si>
  <si>
    <t>Avel Guénin-Carlut</t>
  </si>
  <si>
    <t>Juste Raimbault</t>
  </si>
  <si>
    <t>Rafał Sienkiewicz</t>
  </si>
  <si>
    <t>Genki Ichinose</t>
  </si>
  <si>
    <t>Adam J. Svahn</t>
  </si>
  <si>
    <t>Fabien CY Benureau</t>
  </si>
  <si>
    <t>Stuart Bartlett</t>
  </si>
  <si>
    <t>Oskar Elek</t>
  </si>
  <si>
    <t>Gustavo Recio</t>
  </si>
  <si>
    <t>A1</t>
  </si>
  <si>
    <t>A2</t>
  </si>
  <si>
    <t>A3</t>
  </si>
  <si>
    <t>A4</t>
  </si>
  <si>
    <t>A5</t>
  </si>
  <si>
    <t>A6</t>
  </si>
  <si>
    <t>A7</t>
  </si>
  <si>
    <t>A8</t>
  </si>
  <si>
    <t>Alexander Mordvintsev</t>
  </si>
  <si>
    <t>Craig Fouts</t>
  </si>
  <si>
    <t/>
  </si>
  <si>
    <t>Sandro Benigno</t>
  </si>
  <si>
    <t>Manon Flageat</t>
  </si>
  <si>
    <t>Antoine Cully</t>
  </si>
  <si>
    <t>Thomas Schmickl</t>
  </si>
  <si>
    <t>Ronald Thenius</t>
  </si>
  <si>
    <t>Udo S. Gaipl</t>
  </si>
  <si>
    <t>Rudolf M. Füchslin</t>
  </si>
  <si>
    <t>Daoyuan Lin</t>
  </si>
  <si>
    <t>Tingyu Chen</t>
  </si>
  <si>
    <t>Yangyang Xu</t>
  </si>
  <si>
    <t>Wen-chi Yang</t>
  </si>
  <si>
    <t>Shimeng Wu</t>
  </si>
  <si>
    <t>Andy Tyrrell</t>
  </si>
  <si>
    <t>Liam McDaid</t>
  </si>
  <si>
    <t>Malachy McElholm</t>
  </si>
  <si>
    <t>Nidhin Thandassery Sumithran</t>
  </si>
  <si>
    <t>Jim Harkin</t>
  </si>
  <si>
    <t>Martin A. Trefzer</t>
  </si>
  <si>
    <t>Aalap Mogre</t>
  </si>
  <si>
    <t>Victor Velasco-Berrelleza</t>
  </si>
  <si>
    <t>Chares J Dorman</t>
  </si>
  <si>
    <t>Sarah Harris</t>
  </si>
  <si>
    <t>Carsten Kroeger</t>
  </si>
  <si>
    <t>Susan Stepney</t>
  </si>
  <si>
    <t>Ahmed Almansoori</t>
  </si>
  <si>
    <t>Timoteo Carletti</t>
  </si>
  <si>
    <t>Elio Tuci</t>
  </si>
  <si>
    <t>Ruben Jahren</t>
  </si>
  <si>
    <t>Ola Huse Ramstad</t>
  </si>
  <si>
    <t>Stefano Nichele</t>
  </si>
  <si>
    <t>Barbora Hudcová</t>
  </si>
  <si>
    <t>Adam Stanton</t>
  </si>
  <si>
    <t>Randall Beer</t>
  </si>
  <si>
    <t>Niall Donnelly</t>
  </si>
  <si>
    <t>Lucy Cheke</t>
  </si>
  <si>
    <t>Edward Keedwell</t>
  </si>
  <si>
    <t>Murray Shanahan</t>
  </si>
  <si>
    <t>Daniele Grattarola</t>
  </si>
  <si>
    <t>Arend Hintze</t>
  </si>
  <si>
    <t>Anna Levina</t>
  </si>
  <si>
    <t>Ann-Sophie Barwich</t>
  </si>
  <si>
    <t>Haily Merritt</t>
  </si>
  <si>
    <t>Eduardo J. Izquierdo</t>
  </si>
  <si>
    <t>Peter Walde</t>
  </si>
  <si>
    <t>Masayuki Imai</t>
  </si>
  <si>
    <t>Kenta Asakura</t>
  </si>
  <si>
    <t>Takaya Arita</t>
  </si>
  <si>
    <t>Oneris Rico</t>
  </si>
  <si>
    <t>Olaf Witkowski</t>
  </si>
  <si>
    <t>Federico Sangati</t>
  </si>
  <si>
    <t>Yi-Shan Cheng</t>
  </si>
  <si>
    <t>Acer Yu-Chan Chang</t>
  </si>
  <si>
    <t>Jobran Chebib</t>
  </si>
  <si>
    <t>Georgii Karelin</t>
  </si>
  <si>
    <t>Satoru Komori</t>
  </si>
  <si>
    <t>Pawel Romanczuk</t>
  </si>
  <si>
    <t>Daniel Bisig</t>
  </si>
  <si>
    <t>Philippe Kocher</t>
  </si>
  <si>
    <t>Hiroki Sayama</t>
  </si>
  <si>
    <t>Takashi Ikegami</t>
  </si>
  <si>
    <t>Keisuke Suzuki</t>
  </si>
  <si>
    <t>Takato Horii</t>
  </si>
  <si>
    <t>Hiroshi Ishiguro</t>
  </si>
  <si>
    <t>Cesare Carissimo</t>
  </si>
  <si>
    <t>Tanner Lund</t>
  </si>
  <si>
    <t>John Smith</t>
  </si>
  <si>
    <t>Carlo Longhi</t>
  </si>
  <si>
    <t>Agoston E. Eiben</t>
  </si>
  <si>
    <t>Artemy Kolchinsky</t>
  </si>
  <si>
    <t>Hiroyuki Iizuka</t>
  </si>
  <si>
    <t>Masahito Yamamoto</t>
  </si>
  <si>
    <t>A.E. Eiben</t>
  </si>
  <si>
    <t>Eliseo Ferrante</t>
  </si>
  <si>
    <t>Efstathios Kagioulis</t>
  </si>
  <si>
    <t>Alexander Dewar</t>
  </si>
  <si>
    <t>Norbert Domcsek</t>
  </si>
  <si>
    <t>Thomas Nowotny</t>
  </si>
  <si>
    <t>Paul Graham</t>
  </si>
  <si>
    <t>Andrew Philippides</t>
  </si>
  <si>
    <t>Jordan Pollack</t>
  </si>
  <si>
    <t>Christopher Kluth</t>
  </si>
  <si>
    <t>Martin Trefzer</t>
  </si>
  <si>
    <t>Imogen Taylor</t>
  </si>
  <si>
    <t>Simon Jones</t>
  </si>
  <si>
    <t>Sabine Hauert</t>
  </si>
  <si>
    <t>Edmund Hunt</t>
  </si>
  <si>
    <t>Sylvie Dirkswager</t>
  </si>
  <si>
    <t>Anya Vostinar</t>
  </si>
  <si>
    <t>Ramya Deshpande</t>
  </si>
  <si>
    <t>Alma Dal Co</t>
  </si>
  <si>
    <t>Michael Brenner</t>
  </si>
  <si>
    <t>Victor Buendia</t>
  </si>
  <si>
    <t>Georg Martius</t>
  </si>
  <si>
    <t>Simon Hegele</t>
  </si>
  <si>
    <t>Gunnar Tufte</t>
  </si>
  <si>
    <t>Clément Moulin-Frier</t>
  </si>
  <si>
    <t>Joshua Nunley</t>
  </si>
  <si>
    <t>Eduardo J Izquierdo</t>
  </si>
  <si>
    <t>Steffen Illium</t>
  </si>
  <si>
    <t>Thomy Phan</t>
  </si>
  <si>
    <t>Claudia Linnhoff-Popien</t>
  </si>
  <si>
    <t>Thomas Gabor</t>
  </si>
  <si>
    <t>Kyrre Glette</t>
  </si>
  <si>
    <t>Sebastian Towers</t>
  </si>
  <si>
    <t>Jakob Foerster</t>
  </si>
  <si>
    <t>Hiroki Sato</t>
  </si>
  <si>
    <t>Anthony J. Clark</t>
  </si>
  <si>
    <t>Caitlin Grasso</t>
  </si>
  <si>
    <t>Gizem Gumuskaya</t>
  </si>
  <si>
    <t>Michael Levin</t>
  </si>
  <si>
    <t>Josh Bongard</t>
  </si>
  <si>
    <t>Charles Ofria</t>
  </si>
  <si>
    <t>Shyam Sudhakaran</t>
  </si>
  <si>
    <t>Sebastian Risi</t>
  </si>
  <si>
    <t>David A. Baum</t>
  </si>
  <si>
    <t>Emily Dolson</t>
  </si>
  <si>
    <t>Phil Husbands</t>
  </si>
  <si>
    <t>Anindya Gosh</t>
  </si>
  <si>
    <t>Ben White</t>
  </si>
  <si>
    <t>Kai Olav Ellefsen</t>
  </si>
  <si>
    <t>Tønnes Nygaard</t>
  </si>
  <si>
    <t>Santiago Rodriguez Papa</t>
  </si>
  <si>
    <t>Rodrigo Canaan</t>
  </si>
  <si>
    <t>Jinxin Yang</t>
  </si>
  <si>
    <t>Julien Philippot</t>
  </si>
  <si>
    <t>Roland Bouffanais</t>
  </si>
  <si>
    <t>Satpreet Singh</t>
  </si>
  <si>
    <t>Ankit Patel</t>
  </si>
  <si>
    <t>Geoff Nitschke</t>
  </si>
  <si>
    <t>Ibuki Kawamata</t>
  </si>
  <si>
    <t>Akira Kakugo</t>
  </si>
  <si>
    <t>Hitomi Kaneko</t>
  </si>
  <si>
    <t>Takayuki Itoh</t>
  </si>
  <si>
    <t>Kunihiko Kaneko</t>
  </si>
  <si>
    <t>Randall D. Beer</t>
  </si>
  <si>
    <t>Bilal Aslan</t>
  </si>
  <si>
    <t>Nathaniel Virgo</t>
  </si>
  <si>
    <t>Yoshihiko Kunisato</t>
  </si>
  <si>
    <t>Hayato Saigo</t>
  </si>
  <si>
    <t>Shigeru Taguchi</t>
  </si>
  <si>
    <t>Ángel Goñi-Moreno</t>
  </si>
  <si>
    <t>Sebastian von Mammen</t>
  </si>
  <si>
    <t>Chrisina Jayne</t>
  </si>
  <si>
    <t>Claudio Angione</t>
  </si>
  <si>
    <t>Dandolo Flumini</t>
  </si>
  <si>
    <t>Johannes J. Schneider</t>
  </si>
  <si>
    <t>Alessia Faggian</t>
  </si>
  <si>
    <t>Aitor Patiño Diaz</t>
  </si>
  <si>
    <t>Pasquale Stano</t>
  </si>
  <si>
    <t>Michael Jirasek</t>
  </si>
  <si>
    <t>Silke Asche</t>
  </si>
  <si>
    <t>Abhishek Sharma</t>
  </si>
  <si>
    <t>Stuart Marshall</t>
  </si>
  <si>
    <t>Leroy Cronin</t>
  </si>
  <si>
    <t>Clifford Bohm</t>
  </si>
  <si>
    <t>Nandi Schoots</t>
  </si>
  <si>
    <t>Amin Ahantab</t>
  </si>
  <si>
    <t>Michael Luck</t>
  </si>
  <si>
    <t>Elizabeth Black</t>
  </si>
  <si>
    <t>Jeremy Pitt</t>
  </si>
  <si>
    <t>Yujin Tang</t>
  </si>
  <si>
    <t>Yingtao Tian</t>
  </si>
  <si>
    <t>Julian Fiorito</t>
  </si>
  <si>
    <t>Jason Yoder</t>
  </si>
  <si>
    <t>Rachid Guerraoui</t>
  </si>
  <si>
    <t>Ljiljana Dolamic</t>
  </si>
  <si>
    <t>Shigeto Dobata</t>
  </si>
  <si>
    <t>Calina M. Durbac</t>
  </si>
  <si>
    <t>Arne Vandenberghe</t>
  </si>
  <si>
    <t>Eric Medvet</t>
  </si>
  <si>
    <t>Alberto Bartoli</t>
  </si>
  <si>
    <t>Andrea De Lorenzo</t>
  </si>
  <si>
    <t>Hee Joong Kim</t>
  </si>
  <si>
    <t>Fabio Tanaka</t>
  </si>
  <si>
    <t>Claus Aranha</t>
  </si>
  <si>
    <t>Anna Bogdanova</t>
  </si>
  <si>
    <t>Kimia Ghobadi</t>
  </si>
  <si>
    <t>Anton Dahbura</t>
  </si>
  <si>
    <t>Eric Silverman</t>
  </si>
  <si>
    <t>David Robertson</t>
  </si>
  <si>
    <t>Daniel Polani</t>
  </si>
  <si>
    <t>Christoph Salge</t>
  </si>
  <si>
    <t>André Carlos Ponce de Leon Ferreira de Carvalho</t>
  </si>
  <si>
    <t>Jesús M. Siqueiros-García</t>
  </si>
  <si>
    <t>Gabriel Ramos Fernández</t>
  </si>
  <si>
    <t>Katya Rodriguez-Vazquez</t>
  </si>
  <si>
    <t>L. B. Soros</t>
  </si>
  <si>
    <t>Shinpei Tanaka</t>
  </si>
  <si>
    <t>Silvia Holler</t>
  </si>
  <si>
    <t>Martin M. Hanczyc</t>
  </si>
  <si>
    <t>Gautier Hamon</t>
  </si>
  <si>
    <t>Mayalen Etcheverry</t>
  </si>
  <si>
    <t>Pierre-Yves Oudeyer</t>
  </si>
  <si>
    <t>Bert Wang-Chak Chan</t>
  </si>
  <si>
    <t>Jan Noyes</t>
  </si>
  <si>
    <t>Victoria Steane</t>
  </si>
  <si>
    <t>Chris Bennett</t>
  </si>
  <si>
    <t>Wenwen Gao</t>
  </si>
  <si>
    <t>Sophie Hart</t>
  </si>
  <si>
    <t>Elliott Hogg</t>
  </si>
  <si>
    <t>Debora Zanatto</t>
  </si>
  <si>
    <t>Clem von Stengel</t>
  </si>
  <si>
    <t>Kanako Esaki</t>
  </si>
  <si>
    <t>Shunsuke Minusa</t>
  </si>
  <si>
    <t>Yang Shao</t>
  </si>
  <si>
    <t>Chihiro Yoshimura</t>
  </si>
  <si>
    <t>Hiroyuki Mizuno</t>
  </si>
  <si>
    <t>Peter Lewis</t>
  </si>
  <si>
    <t>Lorena Sganzerla</t>
  </si>
  <si>
    <t>Denise Pumain</t>
  </si>
  <si>
    <t>Wojciech J˛edruch</t>
  </si>
  <si>
    <t>Daiki Miyagawa</t>
  </si>
  <si>
    <t>Erika Chiba</t>
  </si>
  <si>
    <t>Mikhail Prokopenko</t>
  </si>
  <si>
    <t>Jun Tani</t>
  </si>
  <si>
    <t>Andrew K Gao</t>
  </si>
  <si>
    <t>Yuk L Yung</t>
  </si>
  <si>
    <t>Joseph N Burchett</t>
  </si>
  <si>
    <t>J Xavier Prochaska</t>
  </si>
  <si>
    <t>Angus G Forbes</t>
  </si>
  <si>
    <t>Wolfgang Banzhaf</t>
  </si>
  <si>
    <t>Roger White</t>
  </si>
  <si>
    <t>Kasper Stoy</t>
  </si>
  <si>
    <t>Jonathan Lawry</t>
  </si>
  <si>
    <t>Alison Cameron</t>
  </si>
  <si>
    <t>Claire Schregardus</t>
  </si>
  <si>
    <t>Stefano Furlan</t>
  </si>
  <si>
    <t>Andrea Ferigo</t>
  </si>
  <si>
    <t>Ana Rubio Denniss</t>
  </si>
  <si>
    <t>Lukas Bostelmann-Arp</t>
  </si>
  <si>
    <t>Alexander Lalejini</t>
  </si>
  <si>
    <t>David Herel</t>
  </si>
  <si>
    <t>Johannes Josef Schneider</t>
  </si>
  <si>
    <t>Hans-Georg Matuttis</t>
  </si>
  <si>
    <t>Flumini</t>
  </si>
  <si>
    <t>Peter Eggenberger Hotz</t>
  </si>
  <si>
    <t>Dieu My Nguyen</t>
  </si>
  <si>
    <t>Chantal Nguyen</t>
  </si>
  <si>
    <t>Tessa van der Heiden</t>
  </si>
  <si>
    <t>Mikihiro Suda</t>
  </si>
  <si>
    <t>Babak Hodjat</t>
  </si>
  <si>
    <t>Teruto Endo</t>
  </si>
  <si>
    <t>Arend Hintze and Jory Schossau</t>
  </si>
  <si>
    <t>Marco Villani</t>
  </si>
  <si>
    <t>Lorenzo Cavuoti</t>
  </si>
  <si>
    <t>Christopher Bennett</t>
  </si>
  <si>
    <t>Marcus Krellner and The Anh Han</t>
  </si>
  <si>
    <t>Ndidi Bianca Ogbo</t>
  </si>
  <si>
    <t>Theodor Cimpeanu</t>
  </si>
  <si>
    <t>Mia-Katrin Kvalsund</t>
  </si>
  <si>
    <t>Yasuhiro Shimada</t>
  </si>
  <si>
    <t>Katherine G. Skocelas</t>
  </si>
  <si>
    <t>Bente Riegler</t>
  </si>
  <si>
    <t>Mohiul Islam</t>
  </si>
  <si>
    <t>Joshua Bensemann</t>
  </si>
  <si>
    <t>Jonathan Bowen</t>
  </si>
  <si>
    <t>Shuto Kuriyama</t>
  </si>
  <si>
    <t>Roger Tucker</t>
  </si>
  <si>
    <t>Matthew Andres Moreno</t>
  </si>
  <si>
    <t>Alexander Morsdvintsev</t>
  </si>
  <si>
    <t>Michael Vogrin</t>
  </si>
  <si>
    <t>Jonas Rockbach</t>
  </si>
  <si>
    <t>Alan Dorin</t>
  </si>
  <si>
    <t>Shane St. Luce and Hiroki Sayama</t>
  </si>
  <si>
    <t>Tran Nguyen Minh-Thai</t>
  </si>
  <si>
    <t>Abeba Birhane</t>
  </si>
  <si>
    <t>Split</t>
  </si>
  <si>
    <t>Towards Computationally Efficient Evolutionary Robotics</t>
  </si>
  <si>
    <t>Heterogeneity and Robustness in Social Learning</t>
  </si>
  <si>
    <t>Symbiosis in Digital Evolution: A Review and Future Directions</t>
  </si>
  <si>
    <t>Automated Ligand Design in Simulated Molecular Docking</t>
  </si>
  <si>
    <t>The benefits of credit assignment in noisy video game environments</t>
  </si>
  <si>
    <t>Voluntary safety pledges overcome over-regulation dilemma in AI development: an evolutionary game analysis</t>
  </si>
  <si>
    <t>On the Trajectories of Planetary Civilizations: Asymptotic Burnout vs. Homeostatic Awakening</t>
  </si>
  <si>
    <t>Evolving Unbounded Neural Complexity in Pursuit-Evasion Games</t>
  </si>
  <si>
    <t>Endosymbiosis or Bust: Influence of Ectosymbiosis on Evolution of Obligate Endosymbiosis</t>
  </si>
  <si>
    <t>Keep Your Frenemies Closer: Bacteriophage That Benefit Their Hosts Evolve to be More Temperate</t>
  </si>
  <si>
    <t>Dirty Transmission Hypothesis: Increased Mutations During Horizontal Transmission Can Select for Increased Levels of Mutualism in Endosymbionts</t>
  </si>
  <si>
    <t>Testing the Efficiency of a Genome-Wide Association Study on a Computational Evolutionary Model</t>
  </si>
  <si>
    <t>On the Mutual Influence of Human and Artificial Life: an Experimental Investigation</t>
  </si>
  <si>
    <t>On the Entanglement between Evolvability and Fitness: an Experimental Study on Voxel-based Soft Robots</t>
  </si>
  <si>
    <t>Lineage Selection in Mixed Populations for Genetic Improvement</t>
  </si>
  <si>
    <t>The Evolution of Fractal Protein Modules in Multicellular Development</t>
  </si>
  <si>
    <t>Empathic Active Inference: Active Inference with Empathy Mechanism for Socially Behaved Artificial Agent</t>
  </si>
  <si>
    <t>Q-learning for real time control of heterogeneous microagent collective</t>
  </si>
  <si>
    <t>Multi-Objective Evolutionary Game Theory: A case study in cancer therapy</t>
  </si>
  <si>
    <t>The evolution of adaptive phenotypic plasticity stabilizes populations against environmental fluctuations</t>
  </si>
  <si>
    <t>Emergence of Novelty in Evolutionary Algorithms</t>
  </si>
  <si>
    <t>Paths in a Network of Polydisperse Spherical Droplets</t>
  </si>
  <si>
    <t>Towards Adaptive Sensorimotor Autonomy: Developing a system that can adapt to its own emergent and dynamic needs</t>
  </si>
  <si>
    <t>Simulations of Vesicular Distanglement</t>
  </si>
  <si>
    <t>Physical Obstacles Constrain Behavioral Parameter Space of Successful Localization in Honey Bee Swarms</t>
  </si>
  <si>
    <t>Perpetual Crossers without Sensory Delay: Revisiting the Perceptual Crossing Simulation Studies</t>
  </si>
  <si>
    <t>PPS3D: A 3D Variant of the Primordial Particle System</t>
  </si>
  <si>
    <t>Firefly-inspired vocabulary generator for communication in multi-agent systems</t>
  </si>
  <si>
    <t>Reliably Re-Acting to Partner’s Actions with the Social Intrinsic Motivation of Transfer Empowerment</t>
  </si>
  <si>
    <t>Exploration and exploitation of the adjacent possible space for open-endedness</t>
  </si>
  <si>
    <t>DIAS: A Domain-Independent Alife-Based Problem-Solving System</t>
  </si>
  <si>
    <t>Toward automatic generation of diverse congestion control algorithms through co-evolution with simulation environments</t>
  </si>
  <si>
    <t>Towards an FPGA Accelerator for Markov Brains</t>
  </si>
  <si>
    <t>Cost-efficiency of institutional reward and punishment in cooperation dilemmas</t>
  </si>
  <si>
    <t>Pseudo-attractors in Random Boolean Network Models and Single-Cell Data</t>
  </si>
  <si>
    <t>Shape Change and Control of Pressure-based Soft Agents</t>
  </si>
  <si>
    <t>Adversarial Takeover of Neural Cellular Automata</t>
  </si>
  <si>
    <t>Exploiting Intrinsic Multi-Agent Heterogeneity for Spatial Interference Reduction in an Idealised Foraging Task</t>
  </si>
  <si>
    <t>The Last One Standing? - Recent Findings on the Feasibility of Indirect Reciprocity under Private Assessment</t>
  </si>
  <si>
    <t>Shake on It: The Role of Commitments and the Evolution of Coordination in Networks of Technology Firms</t>
  </si>
  <si>
    <t>A Partial Integro-Differential Equation-Based Model of Adaptive Social Network Dynamics</t>
  </si>
  <si>
    <t>Lifeforms potentially useful for automated underwater monitoring systems</t>
  </si>
  <si>
    <t>Network Diversity Promotes Safety Adoption in Swift Artificial Intelligence Development</t>
  </si>
  <si>
    <t>Generation of Complex Patterns using Coupled Generative Adversarial Networks</t>
  </si>
  <si>
    <t>Glaberish: Generalizing the Continuously-Valued Lenia Framework to Arbitrary Life-Like Cellular Automata</t>
  </si>
  <si>
    <t>Ethics of Artificial Life: The Moral Status of Life as It Could Be</t>
  </si>
  <si>
    <t>Centralized and Decentralized Control in Modular Robots and Their Effect on Morphology</t>
  </si>
  <si>
    <t>What does functional connectivity tell us about the behaviorally functional connectivity of a multifunctional neural circuit?</t>
  </si>
  <si>
    <t>Bottom-up formation of number representation and top-down understanding of symbolic manipulation</t>
  </si>
  <si>
    <t>The Evolution of Genetic Robustness for Cellular Cooperation in Early Multicellular Organisms</t>
  </si>
  <si>
    <t>The Information Complexity of Navigating with Momentum</t>
  </si>
  <si>
    <t>String: a programming language for the evolution of ribozymes in a new computational protocell model</t>
  </si>
  <si>
    <t>Is Prediction Required? Using Evolutionary Robotics to Investigate How Systems Cope with Self-Caused Stimuli</t>
  </si>
  <si>
    <t>Augmenting Evolution with Bio-Inspired “Super Explorers”</t>
  </si>
  <si>
    <t>Simulations and the evolution of consciousness</t>
  </si>
  <si>
    <t>A Modeling and Experimental Framework for Understanding Evolutionary and Ecological Roles of Acoustic Behavior Using a Generative Model</t>
  </si>
  <si>
    <t>Evolution of Developmental Strategies in NK Fitness Landscapes</t>
  </si>
  <si>
    <t>Two Theories of Responsiveness</t>
  </si>
  <si>
    <t>Self Recognition as Optimisation</t>
  </si>
  <si>
    <t>Gradient Climbing Neural Cellular Automata</t>
  </si>
  <si>
    <t>Towards a Unified Framework for Technological and Biological Evolution</t>
  </si>
  <si>
    <t>Hereditary Stratigraphy: Genome Annotations to Enable Phylogenetic Inference over Distributed Populations</t>
  </si>
  <si>
    <t>Growing Isotropic Neural Cellular Automata</t>
  </si>
  <si>
    <t>Finding Chemical Organisations in Matter-Conserving AChems</t>
  </si>
  <si>
    <t>Evolutionary stability of host-endosymbiont mutualism is reduced by multi-infection</t>
  </si>
  <si>
    <t>Analogical comparison of circuits generating a multiply realizable walking behavior</t>
  </si>
  <si>
    <t>Navigating blind without a map: models of active wayfinding</t>
  </si>
  <si>
    <t>En route for implanting a minimal chemical perceptron into artificial cells</t>
  </si>
  <si>
    <t>Modelling a Common Cognitive Bias and a Simple Heuristic to Overcome it</t>
  </si>
  <si>
    <t>Modeling the Cell as a Network of Parallel Processes—a New Approach</t>
  </si>
  <si>
    <t>Inside looking out? Autonomy; phenomenological experience and integrated information.</t>
  </si>
  <si>
    <t>Towards Hierarchical Hybrid Architectures for Human-Swarm Interaction</t>
  </si>
  <si>
    <t>Minimal Models for Spatially Resolved Population Dynamics – Applications to Coexistence</t>
  </si>
  <si>
    <t>AgTech that doesn’t cost the Earth: Creating sustainable; ethical and effective agricultural technology that enhances its social and ecological contexts</t>
  </si>
  <si>
    <t>A Participatory Complex Systems Modelling Approach Towards Rewilding in the UK</t>
  </si>
  <si>
    <t>Detecting New Phase Transition Points in Large-Scale Numerical Simulations of an Adaptive Social Network Model</t>
  </si>
  <si>
    <t>Innovation and informal knowledge exchanges between firms</t>
  </si>
  <si>
    <t>Network-Based Phase Space Analysis of the El Farol Bar Problem</t>
  </si>
  <si>
    <t>A comprehensive conceptual and computational dynamics framework for Autonomous Regeneration Systems</t>
  </si>
  <si>
    <t>The Impossibility of Automating Ambiguity</t>
  </si>
  <si>
    <t>Life Worth Mentioning: Complexity in Life-Like Cellular Automata</t>
  </si>
  <si>
    <t>Jacob Schoemaker</t>
  </si>
  <si>
    <t>Michael Wong</t>
  </si>
  <si>
    <t>Penelope Faulkner Rainford</t>
  </si>
  <si>
    <t>Harry Booth</t>
  </si>
  <si>
    <t>Martin Stefanec</t>
  </si>
  <si>
    <t>Manh Hong Duong Duong</t>
  </si>
  <si>
    <t>Marcus Krellner</t>
  </si>
  <si>
    <t>Q. Tyrell Davis</t>
  </si>
  <si>
    <t>James Garner</t>
  </si>
  <si>
    <t>Timothy Atkinson</t>
  </si>
  <si>
    <t>Jonathan Young</t>
  </si>
  <si>
    <t>Kira Breithaupt</t>
  </si>
  <si>
    <t>Margareta Segerståhl</t>
  </si>
  <si>
    <t>Imran Khan</t>
  </si>
  <si>
    <t>Shane St. Luce</t>
  </si>
  <si>
    <t>Eric Pe ˜ na</t>
  </si>
  <si>
    <t>Katherine Skocelas</t>
  </si>
  <si>
    <t>Luis Zaman</t>
  </si>
  <si>
    <t>Rob Maccallum</t>
  </si>
  <si>
    <t>Karine Miras</t>
  </si>
  <si>
    <t>Francisco C. Santos</t>
  </si>
  <si>
    <t>Luis Moniz Pereira</t>
  </si>
  <si>
    <t>Lenaerts Tom</t>
  </si>
  <si>
    <t>Seth Dorchen</t>
  </si>
  <si>
    <t>Sarah Doore</t>
  </si>
  <si>
    <t>Michael Wiser</t>
  </si>
  <si>
    <t>Yasir Imam</t>
  </si>
  <si>
    <t>Lars Rönnegård</t>
  </si>
  <si>
    <t>Giorgia Nadizar</t>
  </si>
  <si>
    <t>Lisa Soros</t>
  </si>
  <si>
    <t>Giovanni Iacca</t>
  </si>
  <si>
    <t>Barry Porter</t>
  </si>
  <si>
    <t>Peter J. Bentley</t>
  </si>
  <si>
    <t>Laia Freixas Mateu</t>
  </si>
  <si>
    <t>Thomas E. Gorochowski</t>
  </si>
  <si>
    <t>Andreas Braun</t>
  </si>
  <si>
    <t>Sanaz Mostaghim</t>
  </si>
  <si>
    <t>Thomas Tueting</t>
  </si>
  <si>
    <t>Austin J. Ferguson</t>
  </si>
  <si>
    <t>Nkrumah Grant</t>
  </si>
  <si>
    <t>Dominika Zogatova</t>
  </si>
  <si>
    <t>Matˇej Kripner</t>
  </si>
  <si>
    <t>Tomáš Mikolov</t>
  </si>
  <si>
    <t>Federica Casiraghi</t>
  </si>
  <si>
    <t>Jin Li</t>
  </si>
  <si>
    <t>Lorena Cebolla Sanahuja</t>
  </si>
  <si>
    <t>Martin Michael Hanczyc</t>
  </si>
  <si>
    <t>David Anthony Barrow</t>
  </si>
  <si>
    <t>Mathias Sebastian Weyland</t>
  </si>
  <si>
    <t>Dandolo</t>
  </si>
  <si>
    <t xml:space="preserve">Rudolf Marcel Füchslin </t>
  </si>
  <si>
    <t>Rudolf Marcel Füchslin</t>
  </si>
  <si>
    <t>Michael Iuzzolino</t>
  </si>
  <si>
    <t>Orit Peleg</t>
  </si>
  <si>
    <t>Isabella Huang</t>
  </si>
  <si>
    <t>Herke van Hoof</t>
  </si>
  <si>
    <t>Efstratios Gavves</t>
  </si>
  <si>
    <t>Takumi Saito</t>
  </si>
  <si>
    <t>Mizuki Oka</t>
  </si>
  <si>
    <t>Hormoz Shahrzad</t>
  </si>
  <si>
    <t>Risto Miikkulainen</t>
  </si>
  <si>
    <t>Hirotake Abe</t>
  </si>
  <si>
    <t>Gianluca D’Addese</t>
  </si>
  <si>
    <t>Stuart Alan Kauffman</t>
  </si>
  <si>
    <t>Roberto Serra</t>
  </si>
  <si>
    <t>Francesco Sacco</t>
  </si>
  <si>
    <t>Luís Moniz Pereira</t>
  </si>
  <si>
    <t>Tom Lenaerts</t>
  </si>
  <si>
    <t>Taiki Sasaki</t>
  </si>
  <si>
    <t>Eric Schwitzgebel</t>
  </si>
  <si>
    <t>Madhavun Candadai</t>
  </si>
  <si>
    <t>Katherine Perry</t>
  </si>
  <si>
    <t>Rosemary Adaji</t>
  </si>
  <si>
    <t>Volker Steuber</t>
  </si>
  <si>
    <t>Nawwaf Kharma</t>
  </si>
  <si>
    <t>Peter Grogono</t>
  </si>
  <si>
    <t>Padriac Amato Tahua O’Leary</t>
  </si>
  <si>
    <t>Yang Chen</t>
  </si>
  <si>
    <t>Ludmila Miranda-Dukoski</t>
  </si>
  <si>
    <t>Michael Witbrock</t>
  </si>
  <si>
    <t>Shinji Sumitani</t>
  </si>
  <si>
    <t>Chihiro Ikeda</t>
  </si>
  <si>
    <t>Lyra Lee</t>
  </si>
  <si>
    <t>Jackson Shen</t>
  </si>
  <si>
    <t>Edward Kim</t>
  </si>
  <si>
    <t>Zach Decker</t>
  </si>
  <si>
    <t>Nihat Engin Toklu</t>
  </si>
  <si>
    <t>Simon Colton</t>
  </si>
  <si>
    <t>Shakeal Hodge</t>
  </si>
  <si>
    <t>Zhen Ren</t>
  </si>
  <si>
    <t>Abe Leite</t>
  </si>
  <si>
    <t>Giordano Rampioni</t>
  </si>
  <si>
    <t>Andrea Roli</t>
  </si>
  <si>
    <t>Pier Luigi Gentili</t>
  </si>
  <si>
    <t>Guilherme Wood</t>
  </si>
  <si>
    <t>Boris Segerståhl</t>
  </si>
  <si>
    <t>Luka-Franziska Bluhm</t>
  </si>
  <si>
    <t>Maren Bennewitz</t>
  </si>
  <si>
    <t>Krütli Pius</t>
  </si>
  <si>
    <t>Thomas Ott</t>
  </si>
  <si>
    <t>Marko Seric</t>
  </si>
  <si>
    <t>Timo Smieszek</t>
  </si>
  <si>
    <t>Alexandra Penn</t>
  </si>
  <si>
    <t>Jesús Mario Siqueiros García</t>
  </si>
  <si>
    <t>Christopher Sandom</t>
  </si>
  <si>
    <t>Sandhya Samarasinghe</t>
  </si>
  <si>
    <t>A9</t>
  </si>
  <si>
    <t>A10</t>
  </si>
  <si>
    <t>A11</t>
  </si>
  <si>
    <t>A12</t>
  </si>
  <si>
    <t>A13</t>
  </si>
  <si>
    <t>A14</t>
  </si>
  <si>
    <t>Special session: ALIFE and Society</t>
  </si>
  <si>
    <t>Special session: Hybrid life: Approaches to integrate biological, artificial and cognitive systems</t>
  </si>
  <si>
    <t>Special Session: Artificial Perception II</t>
  </si>
  <si>
    <t>La DOLCE vita. Discoveries on Life Complexity and Evolution for the improvement of real lives</t>
  </si>
  <si>
    <t>Robots: The century past and the century ahead</t>
  </si>
  <si>
    <t>Alexander Lalejini, Austin J. Ferguson, Nkrumah Grant, Charles Ofria</t>
  </si>
  <si>
    <t>Anya Vostinar, Katherine Skocelas, Alexander Lalejini, Luis Zaman</t>
  </si>
  <si>
    <t>Geoff Nitschke, Rob Maccallum</t>
  </si>
  <si>
    <t>Jacob Schoemaker, Karine Miras</t>
  </si>
  <si>
    <t>The Anh Han, Francisco C. Santos, Luis Moniz Pereira, Lenaerts Tom</t>
  </si>
  <si>
    <t>Michael Wong, Stuart Bartlett</t>
  </si>
  <si>
    <t>Kiara Johnson, Piper Welch, Emily Dolson, Anya Vostinar</t>
  </si>
  <si>
    <t>Alison Cameron, Seth Dorchen, Sarah Doore, Anya Vostinar</t>
  </si>
  <si>
    <t>Claire Schregardus, Michael Wiser, Anya Vostinar</t>
  </si>
  <si>
    <t>Arend Hintze, Yasir Imam, Lars Rönnegård</t>
  </si>
  <si>
    <t>Stefano Furlan, Eric Medvet, Giorgia Nadizar, Federico Pigozzi</t>
  </si>
  <si>
    <t>Andrea Ferigo, Lisa Soros, Eric Medvet, Giovanni Iacca</t>
  </si>
  <si>
    <t>Penelope Faulkner Rainford, Barry Porter</t>
  </si>
  <si>
    <t>Harry Booth, Peter J. Bentley</t>
  </si>
  <si>
    <t>Tadayuki Matsumura, Kanako Esaki, Hiroyuki Mizuno</t>
  </si>
  <si>
    <t>Ana Rubio Denniss, Laia Freixas Mateu, Thomas E. Gorochowski, Sabine Hauert</t>
  </si>
  <si>
    <t>Lukas Bostelmann-Arp, Andreas Braun, Sanaz Mostaghim, Thomas Tueting</t>
  </si>
  <si>
    <t>David Herel, Dominika Zogatova, Matˇej Kripner, Tomáš Mikolov</t>
  </si>
  <si>
    <t xml:space="preserve">Johannes Josef Schneider, Alessia Faggian, Silvia Holler, Federica Casiraghi, Jin Li, Lorena Cebolla Sanahuja, Hans-Georg Matuttis, Martin Michael Hanczyc, David Anthony Barrow, Mathias Sebastian Weyland, Dandolo, Flumini, Peter Eggenberger Hotz, Rudolf Marcel Füchslin </t>
  </si>
  <si>
    <t>Peter Eggenberger Hotz, Federica Casiraghi, Johannes Josef Schneider, Mathias Sebastian Weyland, Dandolo Flumini, Martin Michael Hanczyc, Rudolf Marcel Füchslin</t>
  </si>
  <si>
    <t>Dieu My Nguyen, Michael Iuzzolino, Orit Peleg</t>
  </si>
  <si>
    <t>Eduardo J. Izquierdo, Gabriel J. Severino, Haily Merritt</t>
  </si>
  <si>
    <t>Martin Stefanec, Thomas Schmickl</t>
  </si>
  <si>
    <t>Chantal Nguyen, Isabella Huang, Orit Peleg</t>
  </si>
  <si>
    <t>Tessa van der Heiden, Herke van Hoof, Efstratios Gavves, Christoph Salge</t>
  </si>
  <si>
    <t>Mikihiro Suda, Takumi Saito, Mizuki Oka</t>
  </si>
  <si>
    <t>Babak Hodjat, Hormoz Shahrzad, Risto Miikkulainen</t>
  </si>
  <si>
    <t>Teruto Endo, Hirotake Abe, Mizuki Oka</t>
  </si>
  <si>
    <t>Arend Hintze, Jory Schossau</t>
  </si>
  <si>
    <t>Manh Hong Duong Duong, The Anh Han</t>
  </si>
  <si>
    <t>Marco Villani, Gianluca D’Addese, Stuart Alan Kauffman, Roberto Serra</t>
  </si>
  <si>
    <t>Lorenzo Cavuoti, Francesco Sacco, Ettore Randazzo, Michael Levin</t>
  </si>
  <si>
    <t>Christopher Bennett, Seth Bullock, Jonathan Lawry</t>
  </si>
  <si>
    <t>Marcus Krellner, The Anh Han</t>
  </si>
  <si>
    <t>Ndidi Bianca Ogbo, Theodor Cimpeanu, Alessandro Di Stefano, The Anh Han</t>
  </si>
  <si>
    <t>Q. Tyrell Davis, Josh Bongard</t>
  </si>
  <si>
    <t>Theodor Cimpeanu, Francisco C. Santos, Luís Moniz Pereira, Tom Lenaerts, The Anh Han</t>
  </si>
  <si>
    <t>Hiroyuki Iizuka, Taiki Sasaki, Wataru Noguchi, Masahito Yamamoto</t>
  </si>
  <si>
    <t>Olaf Witkowski, Eric Schwitzgebel</t>
  </si>
  <si>
    <t>Mia-Katrin Kvalsund, Kyrre Glette, Frank Veenstra</t>
  </si>
  <si>
    <t>Eduardo J. Izquierdo, Madhavun Candadai</t>
  </si>
  <si>
    <t>Yasuhiro Shimada, Wataru Noguchi, Hiroyuki Iizuka, Masahito Yamamoto</t>
  </si>
  <si>
    <t>Katherine G. Skocelas, Austin J. Ferguson, Clifford Bohm, Katherine Perry, Rosemary Adaji, Charles Ofria</t>
  </si>
  <si>
    <t>Bente Riegler, Daniel Polani, Volker Steuber</t>
  </si>
  <si>
    <t>Mohiul Islam, Nawwaf Kharma, Peter Grogono</t>
  </si>
  <si>
    <t>James Garner, Matthew Egbert</t>
  </si>
  <si>
    <t>Joshua Bensemann, Padriac Amato Tahua O’Leary, Yang Chen, Ludmila Miranda-Dukoski, Michael Witbrock</t>
  </si>
  <si>
    <t>Reiji Suzuki, Shinji Sumitani, Chihiro Ikeda, Takaya Arita</t>
  </si>
  <si>
    <t>Jacob Ashworth, Lyra Lee, Jackson Shen, Edward Kim, Zach Decker, Jason Yoder</t>
  </si>
  <si>
    <t>Timothy Atkinson, Nihat Engin Toklu</t>
  </si>
  <si>
    <t>Shuto Kuriyama, Wataru Noguchi, Hiroyuki Iizuka, Keisuke Suzuki, Masahito Yamamoto</t>
  </si>
  <si>
    <t>Matthew Andres Moreno, Emily Dolson, Charles Ofria</t>
  </si>
  <si>
    <t>Alexander Morsdvintsev, Ettore Randazzo, Craig Fouts</t>
  </si>
  <si>
    <t>Jonathan Young, Simon Colton</t>
  </si>
  <si>
    <t>Emily Dolson, Anya Vostinar, Shakeal Hodge, Zhen Ren</t>
  </si>
  <si>
    <t>Kira Breithaupt, Abe Leite</t>
  </si>
  <si>
    <t>Pasquale Stano, Giordano Rampioni, Andrea Roli, Pier Luigi Gentili, Luisa Damiano</t>
  </si>
  <si>
    <t>Michael Vogrin, Guilherme Wood, Thomas Schmickl</t>
  </si>
  <si>
    <t>Margareta Segerståhl, Boris Segerståhl</t>
  </si>
  <si>
    <t>Jonas Rockbach, Luka-Franziska Bluhm, Maren Bennewitz</t>
  </si>
  <si>
    <t>Rudolf M. Füchslin, Krütli Pius, Thomas Ott, Stephan Scheidegger, Johannes J. Schneider, Marko Seric, Timo Smieszek, Mathias S. Weyland</t>
  </si>
  <si>
    <t>Alan Dorin, Alexandra Penn, Jesús Mario Siqueiros García</t>
  </si>
  <si>
    <t>Imran Khan, Christopher Sandom</t>
  </si>
  <si>
    <t>Shane St. Luce, Hiroki Sayama</t>
  </si>
  <si>
    <t>Tran Nguyen Minh-Thai, Sandhya Samarasinghe, Michael Levin</t>
  </si>
  <si>
    <t>Eric Pe ˜ na, Hiroki Sayama</t>
  </si>
  <si>
    <t>Jitka Cˇejková</t>
  </si>
  <si>
    <t>James Dyke</t>
  </si>
  <si>
    <t>Jessica Flack</t>
  </si>
  <si>
    <t>David Ha</t>
  </si>
  <si>
    <t>Jana Horáková</t>
  </si>
  <si>
    <t>Iyad Rahwan</t>
  </si>
  <si>
    <t>Daniela Rus</t>
  </si>
  <si>
    <t>Mike Russell</t>
  </si>
  <si>
    <t>Andrew Steele</t>
  </si>
  <si>
    <t>Tim Taylor</t>
  </si>
  <si>
    <t>Anna Dumitriu and Alex May</t>
  </si>
  <si>
    <t>Alan Dorin, Hazel Parry and James Cook</t>
  </si>
  <si>
    <t>Alice Eldridge</t>
  </si>
  <si>
    <t>Morten W. N. Jørgensen, Niels Høiby, Hans J. Ziock and Steen Rasmussen</t>
  </si>
  <si>
    <t>Aymeric Vie</t>
  </si>
  <si>
    <t>Selin Zileli, Jiayu Wu, Cyriel Diels and Stephen Boyd Davis</t>
  </si>
  <si>
    <t>Ryota Mima, Yuki Kubota and Masahiko Inami</t>
  </si>
  <si>
    <t>Ali Tehrani-Saleh and Christoph Adami</t>
  </si>
  <si>
    <t>Karine Araujo, Jim Cuijpers, Bahadir Gülhan and A.E. Eiben</t>
  </si>
  <si>
    <t>Andres Faina</t>
  </si>
  <si>
    <t>Babak Hosseinkhani Kargar, Karine Miras and A.E. Eiben</t>
  </si>
  <si>
    <t>Per Roald Leikanger</t>
  </si>
  <si>
    <t>Alexander Mordvintsev, Ettore Randazzo and Eyvind Niklasson</t>
  </si>
  <si>
    <t>Kathryn Walker and Helmut Hauser</t>
  </si>
  <si>
    <t>Eric Aaron and John Long</t>
  </si>
  <si>
    <t>Mohamed Boukens, Vincent Lebastard and Frédéric Boyer</t>
  </si>
  <si>
    <t>Alexander Brown, Michael Brown and Brent Utter</t>
  </si>
  <si>
    <t>Edoardo Datteri</t>
  </si>
  <si>
    <t>Mert Karakaya, Simone Macrì and Maurizio Porfiri</t>
  </si>
  <si>
    <t>Dajana Lazic and Thomas Schmickl</t>
  </si>
  <si>
    <t>Stamatios C Nicolis, Mariano Calvo Martin, Alexandre Campo and Jean Louis Deneubourg</t>
  </si>
  <si>
    <t>Giovanni Polverino and Maurizio Porfiri</t>
  </si>
  <si>
    <t>Giordano Rampioni, Yutetsu Kuruma, Livia Leoni, Luisa Damiano and Pasquale Stano</t>
  </si>
  <si>
    <t>Donato Romano and Cesare Stefanini</t>
  </si>
  <si>
    <t>Cesare Stefanini and Donato Romano</t>
  </si>
  <si>
    <t>Gerhard von der Emde and Martin Worm</t>
  </si>
  <si>
    <t>Mostafa Wahby, Julian Petzold and Heiko Hamann</t>
  </si>
  <si>
    <t>Mahi Luthra and Peter M. Todd</t>
  </si>
  <si>
    <t>Norihiro Maruyama, Atsushi Masumori and Takashi Ikegami</t>
  </si>
  <si>
    <t>Alvaro Ovalle</t>
  </si>
  <si>
    <t>Mikihiro Suda and Mizuki Oka</t>
  </si>
  <si>
    <t>Meito Tsuruta, Reiji Suzuki and Takaya Arita</t>
  </si>
  <si>
    <t>Thomas Doctor, Elizaveta Solomonova, Bill Duane and Olaf Witkowski</t>
  </si>
  <si>
    <t>Ana Cristina Lopes</t>
  </si>
  <si>
    <t>Jesús Siqueiros</t>
  </si>
  <si>
    <t>Sarah Albani, Acacia Ackles, Charles Ofria and Clifford Bohm</t>
  </si>
  <si>
    <t>Nicolás Araya, Guillermo Iglesias and Martín Gutiérrez</t>
  </si>
  <si>
    <t>Nathanael Aubert-Kato, Guillaume Gines, Teruo Fujii and Yannick Rondelez</t>
  </si>
  <si>
    <t>Igor Balaz, Tara Petric and Namid Stillman</t>
  </si>
  <si>
    <t>Alex Baranski and Tom Froese</t>
  </si>
  <si>
    <t>Ditlev Hartmann Bornebusch, Hans-Joachim Ziock and Steen Rasmussen</t>
  </si>
  <si>
    <t>Elias Fernández Domingos, Jelena Grujic, Juan Carlos Burguillo, Francisco C. Santos and Tom Lenaerts</t>
  </si>
  <si>
    <t>Marina Dubova</t>
  </si>
  <si>
    <t>Mario Franco, Octavio Zapata, David A. Rosenblueth and Carlos Gershenson</t>
  </si>
  <si>
    <t>Thomas Gabor, Marian Lingsch Rosenfeld and Claudia Linnhoff-Popien</t>
  </si>
  <si>
    <t>Thomas Gabor, Steffen Illium, Maximilian Zorn and Claudia Linnhoff-Popien</t>
  </si>
  <si>
    <t>Eivind Glover</t>
  </si>
  <si>
    <t>Kevin Godin-Dubois, Sylvain Cussat-Blanc and Yves Duthen</t>
  </si>
  <si>
    <t>Théotime Grohens, Sam Meyer and Guillaume Beslon</t>
  </si>
  <si>
    <t>Jeremy Gordon and John Chuang</t>
  </si>
  <si>
    <t>Djordje Grbic and Sebastian Risi</t>
  </si>
  <si>
    <t>Rory Greig and Jordi Arranz</t>
  </si>
  <si>
    <t>The Anh Han, Francisco C. Santos, Luis Moniz Pereira and Tom Lenaerts</t>
  </si>
  <si>
    <t>The Anh Han, Cedric Perret and Simon T. Powers</t>
  </si>
  <si>
    <t>Yuta Horii, Katsuma Inoue, Satoshi Nishikawa, Kohei Nakajima, Ryuma Niiyama and Yasuo Kuniyoshi</t>
  </si>
  <si>
    <t>Barbora Hudcová and Tomáš Mikolov</t>
  </si>
  <si>
    <t>Tony Z Jia and Tommaso P Fraccia</t>
  </si>
  <si>
    <t>Adam Katona, Daniel W. Franks and James Alfred Walker</t>
  </si>
  <si>
    <t>Takako Kawaguchi, Reiji Suzuki, Takaya Arita and Bert Chan</t>
  </si>
  <si>
    <t>Sina Khajehabdollahi, Emmanouil Giannakakis, Jan Prosi and Anna Levina</t>
  </si>
  <si>
    <t>Imran Khan and Lola Cañamero</t>
  </si>
  <si>
    <t>Douglas Kirkpatrick, Victoria Cao and Clifford Bohm</t>
  </si>
  <si>
    <t>Douglas Kirkpatrick and Arend Hintze</t>
  </si>
  <si>
    <t>Maciej Komosinski and Konrad Miazga</t>
  </si>
  <si>
    <t>Bhaskar Kumawat and Luis Zaman</t>
  </si>
  <si>
    <t>Hian Lee Kwa, Jabez Leong Kit and Roland Bouffanais</t>
  </si>
  <si>
    <t>Dragana Laketic</t>
  </si>
  <si>
    <t>Abe Leite and Eduardo Izquierdo</t>
  </si>
  <si>
    <t>Zixuan Liu, Michael Crosscombe and Jonathan Lawry</t>
  </si>
  <si>
    <t>Jared Moore and Adam Stanton</t>
  </si>
  <si>
    <t>Jared Moore and Anthony Clark</t>
  </si>
  <si>
    <t>Yohsuke Murase and Seung Ki Baek</t>
  </si>
  <si>
    <t>Thinh Nguyen, Dieter Vanderelst and Herbert Peremans</t>
  </si>
  <si>
    <t>Geoff Nitschke and Greg Furman</t>
  </si>
  <si>
    <t>Eyvind Niklasson, Alexander Mordvintsev and Ettore Randazzo</t>
  </si>
  <si>
    <t>Tiago Barros Pontes E Silva and Marilia Lyra Bergamo</t>
  </si>
  <si>
    <t>Jan Prosi, Sina Khajehabdollahi, Emmanouil Giannakakis, Georg Martius and Anna Levina</t>
  </si>
  <si>
    <t>Nishant Ramakuru and Namid Ram Stillman</t>
  </si>
  <si>
    <t>Gabriel Ramos-Fernandez, Tania M. Palacios-Romo and Sandra E. Smith Aguilar</t>
  </si>
  <si>
    <t>Ettore Randazzo, Luca Versari and Alexander Mordvintsev</t>
  </si>
  <si>
    <t>Fabian Ritz, Daniel Ratke, Thomy Phan, Lenz Belzner and Claudia Linnhof-Popien</t>
  </si>
  <si>
    <t>Ekaterina Sangati, Soheil Keshmiri and Federico Sangati</t>
  </si>
  <si>
    <t>Hiroki Sato, Yasuhiro Hashimoto, Mizuki Oka and Takashi Ikegami</t>
  </si>
  <si>
    <t>Kyrill Schmid, Lenz Belzner and Claudia Linnhoff-Popien</t>
  </si>
  <si>
    <t>Paolo Sibani and Steen Rasmussen</t>
  </si>
  <si>
    <t>Susan Stepney and Simon Hickinbotham</t>
  </si>
  <si>
    <t>Shyam Sudhakaran, Djordje Grbic, Siyan Li, Adam Katona, Elias Najarro, Claire Glanois and Sebastian Risi</t>
  </si>
  <si>
    <t>Reiji Suzuki, Ryohei Seki, Takahiro Banno, Kouki Kawai and Takaya Arita</t>
  </si>
  <si>
    <t>Léonardo Trujillo, Paul Banse and Guillaume Beslon</t>
  </si>
  <si>
    <t>Jamie Webster and Martyn Amos</t>
  </si>
  <si>
    <t>Derek Whitley, Jason Yoder and Nicklas Carpenter</t>
  </si>
  <si>
    <t>Lance Williams</t>
  </si>
  <si>
    <t>Payam Zahadat</t>
  </si>
  <si>
    <t>ZZZ</t>
  </si>
  <si>
    <t>David Bierbach, Fritz Francisco, Juliane Lukas, Tim Landgraf, Moritz Maxeiner, Pawel Romanczuk, Lea Musiolek, Verena V. Hafner and Jens Krause</t>
  </si>
  <si>
    <t>Heiko Hamann, Stjepan Bogdan, Antonio Diaz-Espejo, Laura Garcia-Carmona, Virginia Hernandez-Santana, Serge Kernbach, Andreas Kernbach, Alfredo Quijano-lopez, Babak Salamat and Mostafa Wahby</t>
  </si>
  <si>
    <t>Asya Ilgün, Kostadin Angelov, Martin Stefanec, Sarah Schönwetter-Fuchs, Valerin Stokanic, Jutta Vollmann, Daniel N. Hofstadler, Martin Kärcher, Heinrich Mellmann, Volha Taliaronak, Armands Kviesis, Vitalijs Komasilovs, Matthias A. Becher, Martina Szopek, David M. Dormagen, Rafael Barmak, Erol Bairaktarov, Matthieu Broisin, Ronald Thenius, Rob Mills, Stamatios C. Nicolis, Alexandre Campo, Aleksejs Zacepins, Sergey Petrov, Jean-Louis Deneubourg, Francesco Mondada, Tim Landgraf, Verena Vanessa Hafner and Thomas Schmickl</t>
  </si>
  <si>
    <t>Rudolf Rosa, Tomáš Musil, Ondrej Dusek, Dominik Jurko, Patrícia Schmidtová, David Marecek, Ondˇrej Bojar, Tom Kocmi, Daniel Hrbek, David Košt’ák, Martina Kinská, Marie Nováková, Josef Doležal, Klára Vosecká, Tomáš Studeník and Petr Žabka</t>
  </si>
  <si>
    <t>Johannes Schneider, Alessia Faggian, Silvia Holler, Federica Casiraghi, Jin Li, Lorena Cebolla Sanahuja, Hans- Georg Matuttis, Martin Hanczyc, David Barrow, Mathias Weyland, Dandolo Flumini, Peter Eggenberger Hotz and Rudolf Füchslin</t>
  </si>
  <si>
    <t>Ronald Thenius, Wiktoria Rajewicz, Joshua Cherian Varughese, Sarah Schoenwetter-Fuchs, Farshad Arvin, Alexander Casson, Chao Wu, Barry Lennox, Alexandre Campo, Godfried Jansen van Vuuren, Cesare Stefanini, Donato Romano and Thomas Schmickl</t>
  </si>
  <si>
    <t>Robots: The century past and the century ahead, an Introduction to the 2021 ALIFE conference</t>
  </si>
  <si>
    <t>The autonomous Earth: How humans created a planetary civilisation that is beyond their control</t>
  </si>
  <si>
    <t>Complexity begets complexity</t>
  </si>
  <si>
    <t>Artificial Life at Scale? Lessons from Machine Learning</t>
  </si>
  <si>
    <t>Homage to R.U.R.: 100 Ways to Play a Robot</t>
  </si>
  <si>
    <t>Experiments in Machine Behavior</t>
  </si>
  <si>
    <t>Soft Robots: Increasing Robot Diversity with Soft Materials</t>
  </si>
  <si>
    <t>Order from Order: How Life Emerged from a Convection-driven Submarine Spring</t>
  </si>
  <si>
    <t>Ageing in artificial and real life: can we code a cure?</t>
  </si>
  <si>
    <t>Weird Tales: Early Visions of Machines That Can Reproduce and Evolve, and Their Relevance Today</t>
  </si>
  <si>
    <t>ArchaeaBot: A Post Singularity and Post Climate Change Life-form</t>
  </si>
  <si>
    <t>Towards Guidelines for Mechatronic Ecosystem Monitoring and Management</t>
  </si>
  <si>
    <t>Listening to Ecosystems as Complex Adaptive Systems</t>
  </si>
  <si>
    <t>SARS-CoV-2 pandemic dynamics and infection tracing in Denmark</t>
  </si>
  <si>
    <t>How Artificial Life Researchers Can Help Address Complex Societal Challenges</t>
  </si>
  <si>
    <t>Emergence of more contagious COVID-19 variants from the coevolution of viruses and policy interventions</t>
  </si>
  <si>
    <t>Creating Artificial Societies through Interaction Analysis: Translating Qualitative Observational Study into Agent-Based Modelling</t>
  </si>
  <si>
    <t>Artificial Cognitive Map System based on Generative Deep Neural Networks</t>
  </si>
  <si>
    <t>A Monocular Depth Estimator to Perceive Crater Illusions in Several Characteristics</t>
  </si>
  <si>
    <t>How Artificial Life Can Advance Artificial Intelligence</t>
  </si>
  <si>
    <t>The Impact of Early-death on Phenotypically Plastic Robots that Evolve in Changing Environments</t>
  </si>
  <si>
    <t>Evolving Modular Robots: Challenges and Opportunities</t>
  </si>
  <si>
    <t>The effect of selecting for different behavioral traits on the evolved gaits of modular robots</t>
  </si>
  <si>
    <t>Decomposing the Prediction Problem; Autonomous Navigation by neo-RL</t>
  </si>
  <si>
    <t>Differentiable Programming of Reaction-Diffusion Patterns</t>
  </si>
  <si>
    <t>Evolution of morphology through sculpting in a voxel based robot</t>
  </si>
  <si>
    <t>Toward Population-Level Biohybrid Systems: Bioinspiration and Behavior</t>
  </si>
  <si>
    <t>Biomimetic robots promote the 3R Principle in animal testing</t>
  </si>
  <si>
    <t>Underwater communication with artificial electric sense</t>
  </si>
  <si>
    <t>Investigating the influence of probabilistic robot motion parameters on archerfish behavior in fish-robot interactions</t>
  </si>
  <si>
    <t>The logic of biorobotics</t>
  </si>
  <si>
    <t>WatchPlant: Networked Bio-hybrid Systems for Pollution Monitoring of Urban Areas</t>
  </si>
  <si>
    <t>Bio-Hybrid Systems for Ecosystem Level Effects</t>
  </si>
  <si>
    <t>Acute Citalopram administration alters zebrafish social dynamics in a behavioral teleporting experiment</t>
  </si>
  <si>
    <t>Can Robots Inform a Honeybee Colony’s Foraging Decision-Making?</t>
  </si>
  <si>
    <t>Control of collective behaviours through artificial feedbacks</t>
  </si>
  <si>
    <t>Controlling invasive species with biologically-inspired robots</t>
  </si>
  <si>
    <t>Toward artificial cells/living cells communication in hybrid ensembles</t>
  </si>
  <si>
    <t>Any colour you like: using animal-robot interaction to unravel mechanisms promoting phenotypically heterogeneous fish aggregations</t>
  </si>
  <si>
    <t>Towards animal phenotype transfer into biomimetic robots: the LAMPETRA project</t>
  </si>
  <si>
    <t>Biohybrid Entities for Environmental Monitoring</t>
  </si>
  <si>
    <t>Robots communicating with fish: Integration requires reciprocal interaction</t>
  </si>
  <si>
    <t>A concept of full plant morphology modeling for robot-plant bio-hybrids</t>
  </si>
  <si>
    <t>Towards Autopoietic SB-AI</t>
  </si>
  <si>
    <t>Social Search Evolves with the Emergence of Clustered Environments</t>
  </si>
  <si>
    <t>Studying Embodied Cognition in the Android Alter</t>
  </si>
  <si>
    <t>An organismic inspired strategy for adaptive control</t>
  </si>
  <si>
    <t>Evaluation of the effect of mimicry on facial expression in Avatar-Mediated Communication</t>
  </si>
  <si>
    <t>A Design of a Virtual Agent that Facilitates a Spatial and Online Communication by Use of Social Particle Swarm Model</t>
  </si>
  <si>
    <t>Can Being Aware of the Illusion of Self Augment an Agent’s Affordances: Integrating Buddhist Philosophy, Cognitive Science, and Artificial Life</t>
  </si>
  <si>
    <t>On the Scales of Selves: Information, Life, and Buddhist Philosophy</t>
  </si>
  <si>
    <t>Monks, Labs, Cyborgs: the Plasticity of Personhood in Tibetan Buddhism</t>
  </si>
  <si>
    <t>You, Robot. Empathy in a Hybrid World</t>
  </si>
  <si>
    <t>A graph-theoretic approach to understanding emergent behavior in physical systems</t>
  </si>
  <si>
    <t>The Comparative Hybrid Approach to Investigate Cognition across Substrates</t>
  </si>
  <si>
    <t>Searching for initial parameters in cell colony spatial pattern generation</t>
  </si>
  <si>
    <t>Emergence of structures from parasitic species in a spatially distributed molecular system</t>
  </si>
  <si>
    <t>Towards open-ended evolutionary simulator for developing novel tumour drug delivery systems</t>
  </si>
  <si>
    <t>Efficient Spike Timing Dependent Plasticity rule for Complex-Valued Neurons</t>
  </si>
  <si>
    <t>Reaction kinetics exploration of a protocellular metabolism</t>
  </si>
  <si>
    <t>Modeling behavioral experiments on uncertainty and cooperation with population-based reinforcement learning</t>
  </si>
  <si>
    <t>Growing Opportunities to Grow: Achieving Open-Ended Multi-Agent Communication Learning</t>
  </si>
  <si>
    <t>Random Networks with Quantum Boolean Functions</t>
  </si>
  <si>
    <t>A Probabilistic Game of Life on a Quantum Annealer</t>
  </si>
  <si>
    <t>Goals for Self-Replicating Neural Networks</t>
  </si>
  <si>
    <t>The Dynamical Landscape of Reservoir Computing with Elementary Cellular Automata</t>
  </si>
  <si>
    <t>A life/dinner paradox: emergence of a proto-amygdala in response to virtual agents’ fears on an artificial neural substrate</t>
  </si>
  <si>
    <t>A Genome-Wide Evolutionary Simulation of the Transcription-Supercoiling Coupling</t>
  </si>
  <si>
    <t>Active Dynamical Prospection: Modeling Mental Simulation as Particle Filtering for Sensorimotor Control during Pathfinding</t>
  </si>
  <si>
    <t>Safer Reinforcement Learning through Transferable Instinct Networks</t>
  </si>
  <si>
    <t>Generating Agent Based Models From Scratch With Genetic Programming</t>
  </si>
  <si>
    <t>A regulation dilemma in Artificial Intelligence development</t>
  </si>
  <si>
    <t>An evolutionary game theory analysis of trust in repeated games and lessons for human-machine interactions</t>
  </si>
  <si>
    <t>Physical reservoir computing in a soft swimming robot</t>
  </si>
  <si>
    <t>Computational Hierarchy of Elementary Cellular Automata</t>
  </si>
  <si>
    <t>Liquid Crystal Phase Assembly in Peptide-DNA Coacervates as a Mechanism for Primitive Emergence of Structural Complexity</t>
  </si>
  <si>
    <t>Quality Evolvability ES: Evolving Individuals With a Distribution of Well Performing and Diverse Offspring</t>
  </si>
  <si>
    <t>Introducing asymptotics to the state-updating rule in Lenia</t>
  </si>
  <si>
    <t>Reservoir computing with self-organizing neural oscillators</t>
  </si>
  <si>
    <t>The emergence of collective response to decisions in a group of physical agents</t>
  </si>
  <si>
    <t>Adaptation-By-Proxy: Contagion Effect of Social Buffering in an Artificial Society</t>
  </si>
  <si>
    <t>Tracking data flow in digital brains exposes coincidental encryption</t>
  </si>
  <si>
    <t>Using MAP-Elites to direct the evolution of desired neural characteristics</t>
  </si>
  <si>
    <t>Diversity control in evolution of movement</t>
  </si>
  <si>
    <t>Architecture of the Genotype-Phenotype Map and the Coevolution of Complexity</t>
  </si>
  <si>
    <t>Tracking Multiple Fast Targets With Swarms: Interplay Between Social Interaction and Agent Memory</t>
  </si>
  <si>
    <t>Hyperdescriptions of Quantum Dynamics - A Case Study for Avian Magnetoreception</t>
  </si>
  <si>
    <t>Generating reward structures on a parameterized distribution of dynamics tasks</t>
  </si>
  <si>
    <t>Imprecise Fusion Operators for Collective Learning</t>
  </si>
  <si>
    <t>Objective Sampling Strategies for Generalized Locomotion Behavior with Lexicase Selection</t>
  </si>
  <si>
    <t>Supervision and Evolution: Pretraining Neural Networks for Quadrupedal Locomotion</t>
  </si>
  <si>
    <t>Friendly rivalry solutions for direct reciprocity</t>
  </si>
  <si>
    <t>Sensorimotor behavior under informational constraints: a robotic model of prey localization in the bat Micronycteris microtis</t>
  </si>
  <si>
    <t>The Role of Speaker Prestige in Synthetic Language Evolution</t>
  </si>
  <si>
    <t>Asynchronicity in Neural Cellular Automata</t>
  </si>
  <si>
    <t>A Representation of Artificial Spin Ice for Evolutionary Search</t>
  </si>
  <si>
    <t>Species in Morphogenesis: Introducing Symbiogenesis as an Additional Method for the Evolutionary Process of an Artwork</t>
  </si>
  <si>
    <t>The dynamical regime and its importance for evolvability, task performance and generalization.</t>
  </si>
  <si>
    <t>Connections between Noisy Fitness and Selection Strength</t>
  </si>
  <si>
    <t>Designing Considerate Swarms</t>
  </si>
  <si>
    <t>Exploring collective intelligence in animal fission-fusion dynamics</t>
  </si>
  <si>
    <t>Recursively Fertile Self-replicating Neural Agents</t>
  </si>
  <si>
    <t>A Sustainable Ecosystem through Emergent Cooperation in Multi-Agent Reinforcement Learning</t>
  </si>
  <si>
    <t>When a Robot Writes a Play: Automatically Generating a Theatre Play Script</t>
  </si>
  <si>
    <t>Evolution of Neural Complexity in Division of Labor Tasks</t>
  </si>
  <si>
    <t>Exploration in Evolutionary Space by Hashtag Evolution on a Social Web Service</t>
  </si>
  <si>
    <t>Learning to Penalize Other Learning Agents</t>
  </si>
  <si>
    <t>Influence of the geometry on the agglomeration of a polydisperse binary system of spherical particles</t>
  </si>
  <si>
    <t>Major transitions in evolution and finite time singularities: Human wealth history</t>
  </si>
  <si>
    <t>What is a Parasite? Defining reaction properties in an open ended automata chemistry</t>
  </si>
  <si>
    <t>Co-evolution of Initial Configuration and Control in Evolutionary Robotics</t>
  </si>
  <si>
    <t>Growing 3D Artefacts and Functional Machines with Neural Cellular Automata</t>
  </si>
  <si>
    <t>An Artificial Creature Approach to the Origin of Acoustic Communication</t>
  </si>
  <si>
    <t>Simulating short- and long-term evolutionary dynamics on rugged landscapes</t>
  </si>
  <si>
    <t>Identification of Lifelike Characteristics of Human Crowds Through a Classification Task</t>
  </si>
  <si>
    <t>Resurrecting FPGA Intrinsic Analog Evolvable Hardware</t>
  </si>
  <si>
    <t>Increased Complexity and Fitness of Artificial Cells that Reproduce Using Spatially Distributed Asynchronous Parallel Processes</t>
  </si>
  <si>
    <t>Incentive for Self-Protection in a Collective System: a Swarm Robotics Case Study</t>
  </si>
  <si>
    <t>Page</t>
  </si>
  <si>
    <t>Introduction</t>
  </si>
  <si>
    <t>Short abstracts of keynote presentations</t>
  </si>
  <si>
    <t>Special session: ALife and society</t>
  </si>
  <si>
    <t>Special Session: Artificial Perception: Machines with Lifelike Failings</t>
  </si>
  <si>
    <t>Special session: Bio-inspired approaches for modular robotics</t>
  </si>
  <si>
    <t>Special session: Complexity ALI[F|V]E: Socializing &amp; Eco-integrating robots with living organisms</t>
  </si>
  <si>
    <t>Special Session: Hybrid life IV: Approaches to integrate biological, artificial and cognitive systems</t>
  </si>
  <si>
    <t>Illusions of Self: Beyond Human, Animal, and Robot</t>
  </si>
  <si>
    <t>Ghost in the Machine</t>
  </si>
  <si>
    <t>Anna Dumitriu</t>
  </si>
  <si>
    <t>Morten W. N. Jørgensen</t>
  </si>
  <si>
    <t>Selin Zileli</t>
  </si>
  <si>
    <t>Ryota Mima</t>
  </si>
  <si>
    <t>Ali Tehrani-Saleh</t>
  </si>
  <si>
    <t>Karine Araujo</t>
  </si>
  <si>
    <t>Babak Hosseinkhani Kargar</t>
  </si>
  <si>
    <t>Kathryn Walker</t>
  </si>
  <si>
    <t>Eric Aaron</t>
  </si>
  <si>
    <t>David Bierbach</t>
  </si>
  <si>
    <t>Mohamed Boukens</t>
  </si>
  <si>
    <t>Alexander Brown</t>
  </si>
  <si>
    <t>Asya Ilgün</t>
  </si>
  <si>
    <t>Mert Karakaya</t>
  </si>
  <si>
    <t>Dajana Lazic</t>
  </si>
  <si>
    <t>Stamatios C Nicolis</t>
  </si>
  <si>
    <t>Giovanni Polverino</t>
  </si>
  <si>
    <t>Donato Romano</t>
  </si>
  <si>
    <t>Cesare Stefanini</t>
  </si>
  <si>
    <t>Gerhard von der Emde</t>
  </si>
  <si>
    <t>Mostafa Wahby</t>
  </si>
  <si>
    <t>Mahi Luthra</t>
  </si>
  <si>
    <t>Meito Tsuruta</t>
  </si>
  <si>
    <t>Thomas Doctor</t>
  </si>
  <si>
    <t>Sarah Albani</t>
  </si>
  <si>
    <t>Nicolás Araya</t>
  </si>
  <si>
    <t>Igor Balaz</t>
  </si>
  <si>
    <t>Alex Baranski</t>
  </si>
  <si>
    <t>Ditlev Hartmann Bornebusch</t>
  </si>
  <si>
    <t>Elias Fernández Domingos</t>
  </si>
  <si>
    <t>Mario Franco</t>
  </si>
  <si>
    <t>Kevin Godin-Dubois</t>
  </si>
  <si>
    <t>Théotime Grohens</t>
  </si>
  <si>
    <t>Jeremy Gordon</t>
  </si>
  <si>
    <t>Djordje Grbic</t>
  </si>
  <si>
    <t>Rory Greig</t>
  </si>
  <si>
    <t>Yuta Horii</t>
  </si>
  <si>
    <t>Tony Z Jia</t>
  </si>
  <si>
    <t>Adam Katona</t>
  </si>
  <si>
    <t>Takako Kawaguchi</t>
  </si>
  <si>
    <t>Douglas Kirkpatrick</t>
  </si>
  <si>
    <t>Maciej Komosinski</t>
  </si>
  <si>
    <t>Bhaskar Kumawat</t>
  </si>
  <si>
    <t>Zixuan Liu</t>
  </si>
  <si>
    <t>Jared Moore</t>
  </si>
  <si>
    <t>Yohsuke Murase</t>
  </si>
  <si>
    <t>Thinh Nguyen</t>
  </si>
  <si>
    <t>Eyvind Niklasson</t>
  </si>
  <si>
    <t>Tiago Barros Pontes E Silva</t>
  </si>
  <si>
    <t>Jan Prosi</t>
  </si>
  <si>
    <t>Nishant Ramakuru</t>
  </si>
  <si>
    <t>Gabriel Ramos-Fernandez</t>
  </si>
  <si>
    <t>Fabian Ritz</t>
  </si>
  <si>
    <t>Rudolf Rosa</t>
  </si>
  <si>
    <t>Kyrill Schmid</t>
  </si>
  <si>
    <t>Johannes Schneider</t>
  </si>
  <si>
    <t>Paolo Sibani</t>
  </si>
  <si>
    <t>Léonardo Trujillo</t>
  </si>
  <si>
    <t>Jamie Webster</t>
  </si>
  <si>
    <t>Derek Whitley</t>
  </si>
  <si>
    <t>A15</t>
  </si>
  <si>
    <t>A16</t>
  </si>
  <si>
    <t>A17</t>
  </si>
  <si>
    <t>A18</t>
  </si>
  <si>
    <t>A19</t>
  </si>
  <si>
    <t>A20</t>
  </si>
  <si>
    <t>A21</t>
  </si>
  <si>
    <t>A22</t>
  </si>
  <si>
    <t>A23</t>
  </si>
  <si>
    <t>A24</t>
  </si>
  <si>
    <t>A25</t>
  </si>
  <si>
    <t>A26</t>
  </si>
  <si>
    <t>A27</t>
  </si>
  <si>
    <t>A28</t>
  </si>
  <si>
    <t>A29</t>
  </si>
  <si>
    <t>What Can ALife offer AI?</t>
  </si>
  <si>
    <t>Num</t>
  </si>
  <si>
    <t>Leroy (Lee) Cronin</t>
  </si>
  <si>
    <t>Rebecca Kramer-Bottiglio</t>
  </si>
  <si>
    <t>Melanie Mitchell</t>
  </si>
  <si>
    <t>Sara Imari Walker</t>
  </si>
  <si>
    <t>Dave Ackley</t>
  </si>
  <si>
    <t>Brian Dahlberg and Eduardo Izquierdo</t>
  </si>
  <si>
    <t>Adrien Ecoffet, Jeff Clune and Joel Lehman</t>
  </si>
  <si>
    <t>Abida Ghouri, Chloe M. Barnes and Peter R. Lewis</t>
  </si>
  <si>
    <t>Edmund R. Hunt, George Jenkinson, Michael Wilsher, Carl P. Dettmann, and Sabine Hauert</t>
  </si>
  <si>
    <t>Joshua Powers, Ryan Grindle, Sam Kriegman, Lapo Frati, Nick Cheney and Josh Bongard</t>
  </si>
  <si>
    <t>Joshua Powers, Sarah Pell and Josh Bongard</t>
  </si>
  <si>
    <t>Siddharth Priya and Chrystopher Nehaniv</t>
  </si>
  <si>
    <t>Susana Ramírez-Vizcaya and Tom Froese</t>
  </si>
  <si>
    <t>Masanori Takano and Kenichi Nakazato</t>
  </si>
  <si>
    <t>Nathan A. Brooks, Simon T. Powers and James M. Borg</t>
  </si>
  <si>
    <t>Penelope Faulkner Rainford, Susan Stepney and Yasmin Merali</t>
  </si>
  <si>
    <t>Manuel Baltieri, Christopher Buckley and Jelle Bruineberg</t>
  </si>
  <si>
    <t>Jasmine Berry and Francisco Valero-Cuevas</t>
  </si>
  <si>
    <t>Dobromir Dotov and Tom Froese</t>
  </si>
  <si>
    <t>Kingson Man and Antonio Damasio</t>
  </si>
  <si>
    <t>David Matthews and Josh Bongard</t>
  </si>
  <si>
    <t>Heinrich Mellmann, Benjamin Schlotter, Lea Musiolek and Verena Hafner</t>
  </si>
  <si>
    <t>Acacia Ackles, Austin Ferguson, Connor Grady and Charles Ofria</t>
  </si>
  <si>
    <t>Merihan Alhafnawi, Sabine Hauert and Paul O’Dowd</t>
  </si>
  <si>
    <t>Peter Andras</t>
  </si>
  <si>
    <t>Wolfgang Banzhaf, Gustavo Recio and Roger White</t>
  </si>
  <si>
    <t>Stuart Bartlett and Michael Wong</t>
  </si>
  <si>
    <t>Alberto Bartoli, Marco Catto, Andrea De Lorenzo, Eric Medvet and Jacopo Talamini</t>
  </si>
  <si>
    <t>Mark Bedau</t>
  </si>
  <si>
    <t>Lauren Benson, Madhavun Candadai and Eduardo Izquierdo</t>
  </si>
  <si>
    <t>Palin Choviwatana, Shota Ejima, Mizuki Oka and Takashi Ikegami</t>
  </si>
  <si>
    <t>Hugo Cisneros, Josef Sivic and Tomáš Mikolov</t>
  </si>
  <si>
    <t>Manh Hong Duong and The Anh Han</t>
  </si>
  <si>
    <t>Paul Ecoffet, Jean-Baptiste André and Nicolas Bredeche</t>
  </si>
  <si>
    <t>Oskar Elek, Joseph N. Burchett, J. Xavier Prochaska and Angus G. Forbes</t>
  </si>
  <si>
    <t>Zineb Elhamer, Reiji Suzuki and Takaya Arita</t>
  </si>
  <si>
    <t>Jan Engelhardt, Bent Andresen and Steen Rasmussen</t>
  </si>
  <si>
    <t>Manon Flageat and Antoine Cully</t>
  </si>
  <si>
    <t>Matt Grove, James M. Borg and Fiona Polack</t>
  </si>
  <si>
    <t>Thomas Helmuth, Edward Pantridge, Grace Woolson and Lee Spector</t>
  </si>
  <si>
    <t>Ian Holmes</t>
  </si>
  <si>
    <t>Edmund R. Hunt, Nigel R. Franks, and Roland J. Baddeley</t>
  </si>
  <si>
    <t>Golnar Gharooni Fard, Elizabeth Bradley and Orit Peleg</t>
  </si>
  <si>
    <t>Carsten Hahn, Fabian Ritz, Paula Wikidal, Thomy Phan, Thomas Gabor and Claudia Linnhoff-Popien</t>
  </si>
  <si>
    <t>Thomas Helmuth and Lee Spector</t>
  </si>
  <si>
    <t>Toby Howison, Josie Hughes and Fumiya Iida</t>
  </si>
  <si>
    <t>Johannes H. Jensen and Gunnar Tufte</t>
  </si>
  <si>
    <t>Tanja Katharina Kaiser and Heiko Hamann</t>
  </si>
  <si>
    <t>Imran Khan, Matthew Lewis and Lola Cañamero</t>
  </si>
  <si>
    <t>Germán Kruszewski and Tomáš Mikolov</t>
  </si>
  <si>
    <t>Nicolas Lobato-Dauzier, Leo Cazenille, Teruo Fujii, Anthony J. Genot and Nathanael Aubert-Kato</t>
  </si>
  <si>
    <t>Leni Le Goff, Emma Hart, Alexandre Coninx and Stéphane Doncieux</t>
  </si>
  <si>
    <t>Abe Leite, Madhavun Candadai and Eduardo J. Izquierdo</t>
  </si>
  <si>
    <t>Mahi Luthra, Eduardo Izquierdo and Peter Todd</t>
  </si>
  <si>
    <t>Azumi Mamiya and Genki Ichinose</t>
  </si>
  <si>
    <t>Omer Markovitch, Boris Kramer, Franz Weissing, Sander Van Doorn and Sijbren Otto</t>
  </si>
  <si>
    <t>Atsushi Masumori, Itsuki Doi, John Smith, Ryuta Aoki and Takashi Ikegami</t>
  </si>
  <si>
    <t>Julian Miller</t>
  </si>
  <si>
    <t>Juan Perez-Mercader</t>
  </si>
  <si>
    <t>Hoang Nguyen, Peter Banda, Darko Stefanovic and Christof Teuscher</t>
  </si>
  <si>
    <t>Hendrik Richter</t>
  </si>
  <si>
    <t>Ekaterina Sangati and Simon M. Hofmann</t>
  </si>
  <si>
    <t>Hiroki Sato, Itsuki Doi, Yasuhiro Hashimoto, Mizuki Oka and Takashi Ikegami</t>
  </si>
  <si>
    <t>Stephan Scheidegger, Alexander Mikos and Harold Fellermann</t>
  </si>
  <si>
    <t>Asheesh Sharma, Sabine Hauert and Helmut Hauser</t>
  </si>
  <si>
    <t>Guillaume St-Onge, Antoine Allard and Laurent Hébert-Dufresne</t>
  </si>
  <si>
    <t>Jacopo Talamini, Eric Medvet, Alberto Bartoli, and Andrea De Lorenzo</t>
  </si>
  <si>
    <t>Cem Tutum and Risto Miikkulainen</t>
  </si>
  <si>
    <t>Demyan Vakhrameev, Miguel Aguilera, Xabier Barandiaran and Manuel Bedia</t>
  </si>
  <si>
    <t>Frank Veenstra and Kyrre Glette</t>
  </si>
  <si>
    <t>Mathias S. Weyland, Dandolo Flumini, Johannes J. Schneider and Rudolf M. Füchslin</t>
  </si>
  <si>
    <t>Wen-Chi Yang, Yuh-Huey Lee, and Kuo-Shih Yang</t>
  </si>
  <si>
    <t>Payam Zahadat and Ada Diaconescu</t>
  </si>
  <si>
    <t>Octavio Zapata, Hyobin Kim and Carlos Gershenson</t>
  </si>
  <si>
    <t>Pourya Aliasghari, Kerstin Dautenhahn and Chrystopher Nehaniv</t>
  </si>
  <si>
    <t>Arturo Araujo and Peter J Bentley</t>
  </si>
  <si>
    <t>Boyuan Chen, Shuran Song, Hod Lipson and Carl Vondrick</t>
  </si>
  <si>
    <t>Arta Cika, Elissa Cohen, Germán Kruszewski, Luther Seet, Patrick Steinmann and Wenqian Yin</t>
  </si>
  <si>
    <t>Matthew Dale, Susan Stepney and Martin Trefzer</t>
  </si>
  <si>
    <t>Alex Dewar, Paul Graham, Thomas Nowotny and Andrew Philippides</t>
  </si>
  <si>
    <t>Marina Dubova and Arseny Moskvichev</t>
  </si>
  <si>
    <t>David Kadish and Sebastian Risi</t>
  </si>
  <si>
    <t>Takeshi Kano, Rodrigo Senofieni, Akira Fukuhara, and Akio Ishiguro</t>
  </si>
  <si>
    <t>Yan Kolezhitskiy, Matthew Egbert and Claire Postlethwaite</t>
  </si>
  <si>
    <t>Katarzyna Kozdon and Peter Bentley</t>
  </si>
  <si>
    <t>Taishi Mikami, Munehiro Asally, Takeshi Kano and Akio Ishiguro</t>
  </si>
  <si>
    <t>Daiki Miyagawa, Genki Ichinose, Erika Chiba and Hiroki Sayama</t>
  </si>
  <si>
    <t>Ilja Rausch, Johannes Nauta, Pieter Simoens, and Yara Khaluf</t>
  </si>
  <si>
    <t>Silvester Sabathiel, James McClelland and Trygve Solstad</t>
  </si>
  <si>
    <t>Matthew Shan, Jared Moore and Anthony Clark</t>
  </si>
  <si>
    <t>Satpreet H. Singh, Floris van Breugel, Rajesh P. N. Rao and Bingni W. Brunton</t>
  </si>
  <si>
    <t>Graham Todd, Madhavun Candadai and Eduardo Izquierdo</t>
  </si>
  <si>
    <t>Jakub Vaculik and Jitka Cejkova</t>
  </si>
  <si>
    <t>Felix Woolford and Matthew Egbert</t>
  </si>
  <si>
    <t>Blake Williams, Guillaume St-Onge and Laurent Hébert-Dufresne</t>
  </si>
  <si>
    <t>Emily Dolson, Shamreen Iram, Joshua Chiel, Julia Pelesko, Nikhil Krishnan, Ozenc Gungor, Benjamin Kuznets- Speck, Sebastian Deffner, Efe Illker, Jacob Scott and Michael Hinczewski</t>
  </si>
  <si>
    <t>Ditlev H. Bornebusch, Christina C. Soerensen, Peter Zingg, Gianluca Gazzola, Norman Packard and Steen Rasmussen</t>
  </si>
  <si>
    <t>Leni Le Goff, Edgar Buchanan, Emma Hart, Agoston Eiben, Wei Li, Matteo de Carlo, Matthew Hale, Mike Angus, Robert Woolley, Jon Timmis, Alan Winfield and Andy Tyrrel</t>
  </si>
  <si>
    <t>Fabian Ritz, Felix Hohnstein, Robert Mueller, Thomy Phan, Thomas Gabor, Claudia Linnhoff-Popien and Carsten Hahn</t>
  </si>
  <si>
    <t>A Top Down Chemically Embodied Artificial Life Computation</t>
  </si>
  <si>
    <t>From Particles to Parts— Building Artificial Life from Multifunctional Composites</t>
  </si>
  <si>
    <t>Robot Cancer: what the bioelectrics of embryogenesis and regeneration can teach us about unconventional computing, cognition, and the software of life</t>
  </si>
  <si>
    <t>Conceptual Abstraction and Analogy in Artificial Intelligence</t>
  </si>
  <si>
    <t>The Natural History of Information</t>
  </si>
  <si>
    <t>New Frontiers in Alife: What was old is new again</t>
  </si>
  <si>
    <t>Best-effort computing with SPOTs and Spatial Threads</t>
  </si>
  <si>
    <t>Contributions from parallel strategies for spatial orientation in C. elegans</t>
  </si>
  <si>
    <t>An introduction to using counterdiabatic driving to eliminate genetic lag in changing environments</t>
  </si>
  <si>
    <t>Open Questions in Creating Safe Open-ended AI: Tensions Between Control and Creativity</t>
  </si>
  <si>
    <t>A Minimal River Crossing Task to Aid the Explainability of Evolutionary Agents</t>
  </si>
  <si>
    <t>SPIDER: a Bioinspired Swarm Algorithm for Adaptive Risk-Taking</t>
  </si>
  <si>
    <t>Morphology dictates learnability in neural controllers</t>
  </si>
  <si>
    <t>A Framework for Search and Application Agnostic Interactive Optimization</t>
  </si>
  <si>
    <t>Life-Span Expectancy and Cycle Size in the Original Autopoiesis Algorithm</t>
  </si>
  <si>
    <t>Agents of Habit: Refining the Artificial Life Route to Artificial Intelligence</t>
  </si>
  <si>
    <t>Emergence of the tradeoff law of social relationships in artificial societies driven by dual memory mechanisms</t>
  </si>
  <si>
    <t>A mechanism to promote social behaviour in household load balancing</t>
  </si>
  <si>
    <t>Socio-Physical Modelling and Declining Mobility</t>
  </si>
  <si>
    <t>Extreme Ideas Emerging from Social Conformity and Homophily: An Adaptive Social Network Model</t>
  </si>
  <si>
    <t>Predictions in the eye of the beholder: an active inference account of Watt governors</t>
  </si>
  <si>
    <t>Sensory-Motor Gestalt: Sensation and Action as the Foundations of Identity, Agency, and Self</t>
  </si>
  <si>
    <t>Dynamic Interactive Artificial Intelligence: Sketches for a Future AI Based on Human-Machine Interaction</t>
  </si>
  <si>
    <t>Truth or Consequences: Homeostatic Self-Regulation in Artificial Neural Networks</t>
  </si>
  <si>
    <t>Crowd grounding: finding semantic and behavioral alignment through human robot interaction.</t>
  </si>
  <si>
    <t>Anticipation as a Mechanism for Complex Behavior in Artificial Agents</t>
  </si>
  <si>
    <t>Rank epistasis: A new model for analyzing epistatic interactions in the absence of quantifiable fitness interactions</t>
  </si>
  <si>
    <t>Robotic Canvas: Interactive Painting onto Robot Swarms</t>
  </si>
  <si>
    <t>Composition of Games as a Model for the Evolution of Social Institutions</t>
  </si>
  <si>
    <t>A Study of Severe Disruption in an Artificial Economy</t>
  </si>
  <si>
    <t>Lyfe in the Universe: A Definition Based on Four Pillars</t>
  </si>
  <si>
    <t>Mechanisms of Social Learning in Evolved Artificial Life</t>
  </si>
  <si>
    <t>Dynamic natural kinds: Open-ended evolution in the joints of nature</t>
  </si>
  <si>
    <t>An Integrated Perspective on the Constitutive and Interactive Dimensions of Autonomy</t>
  </si>
  <si>
    <t>Neural reuse in multifunctional neural networks for control tasks</t>
  </si>
  <si>
    <t>Automated replication optimization for protocellular information system</t>
  </si>
  <si>
    <t>Lenia and Expanded Universe</t>
  </si>
  <si>
    <t>Web as an Evolutionary Ecosystem: Emergence of Keystone Species</t>
  </si>
  <si>
    <t>Visualizing computation in large-scale cellular automata</t>
  </si>
  <si>
    <t>The effect of mutation on equilibrium properties of deterministic and random evolutionary games</t>
  </si>
  <si>
    <t>Learning to Cooperate in a Socially Optimal Way in Swarm Robotics</t>
  </si>
  <si>
    <t>Marangoni Based Motile Oil-Droplets in Simulated Artificial Chemistry</t>
  </si>
  <si>
    <t>Monte Carlo Physarum Machine: Agent-based Model for Reconstructing Complex 3D Transport Networks</t>
  </si>
  <si>
    <t>A Hybrid Approach to Understanding the Continuous Social Dynamics Based on a Large-Scale Modeling and a Face-to-Face Experiment</t>
  </si>
  <si>
    <t>Thermodynamics and kinetics of Lesion Induced DNA Amplification (LIDA)</t>
  </si>
  <si>
    <t>Fast and stable MAP-Elites in noisy domains using deep grids</t>
  </si>
  <si>
    <t>Safe Reinforcement Learning through Meta-learned Instincts</t>
  </si>
  <si>
    <t>Coloured noise time series as appropriate models for environmental variation in artificial evolutionary systems</t>
  </si>
  <si>
    <t>What Matters? Agent Concerns, Agent-designer Concerns</t>
  </si>
  <si>
    <t>Genetic Source Sensitivity and Transfer Learning in Genetic Programming</t>
  </si>
  <si>
    <t>Cellular Automata Simulation of RNA Self-Replicators</t>
  </si>
  <si>
    <t>The Bayesian Superorganism: Collective Probability Estimation in Swarm Systems</t>
  </si>
  <si>
    <t>Data-Driven Modeling of Resource Distribution in Honeybee Swarms</t>
  </si>
  <si>
    <t>Foraging Swarms using Multi-Agent Reinforcement Learning</t>
  </si>
  <si>
    <t>Explaining and Exploiting the Advantages of Down-sampled Lexicase Selection</t>
  </si>
  <si>
    <t>Sexual Selection compared to Novelty Search</t>
  </si>
  <si>
    <t>Morphologically programming the interactions of V-shaped falling papers</t>
  </si>
  <si>
    <t>Classification of Complex Systems Based on Transients</t>
  </si>
  <si>
    <t>Reservoir Computing in Artificial Spin Ice</t>
  </si>
  <si>
    <t>Evolution of Diverse Swarm Behaviors with Minimal Surprise</t>
  </si>
  <si>
    <t>Modelling the Social Buffering Hypothesis in an Artificial Life Environment</t>
  </si>
  <si>
    <t>Putting oneself in everybody’s shoes - Pleasing enables indirect reciprocity under private assessments</t>
  </si>
  <si>
    <t>Combinatory Chemistry: Towards a Simple Model of Emergent Evolution</t>
  </si>
  <si>
    <t>Temperature-based inputs for molecular reservoir computers</t>
  </si>
  <si>
    <t>On Pros and Cons of Evolving Topologies with Novelty Search</t>
  </si>
  <si>
    <t>Sample and time efficient policy learning with CMA-ES and Bayesian Optimisation</t>
  </si>
  <si>
    <t>Reinforcement learning beyond the Bellman equation: Exploring critic objectives using evolution</t>
  </si>
  <si>
    <t>Cognition Evolves with the Emergence of Environmental Patchiness</t>
  </si>
  <si>
    <t>Zero-Determinant Strategies under Observation Errors</t>
  </si>
  <si>
    <t>Competition Dynamics in a Chemical System of Self-replicating Macrocycles</t>
  </si>
  <si>
    <t>Evolving Acoustic Niche Differentiation and Soundscape Complexity Based on Intraspecific Sound Communication</t>
  </si>
  <si>
    <t>Evolving developmental neural networks to solve multiple problems</t>
  </si>
  <si>
    <t>De novo laboratory synthesis of life mimics without biochemistry</t>
  </si>
  <si>
    <t>Reservoir Computing with Random Chemical Systems</t>
  </si>
  <si>
    <t>A model of urban evolution based on innovation diffusion</t>
  </si>
  <si>
    <t>Generating symmetry and symmetry breaking in sand-bubbler patterns</t>
  </si>
  <si>
    <t>Towards Ecosystem Management from Greedy Reinforcement Learning in a Predator-Prey Setting</t>
  </si>
  <si>
    <t>The Role of Co-Representations in Joint Tracking</t>
  </si>
  <si>
    <t>Selection and Accelerated Divergence in Hashtag Evolution on a Social Network Service</t>
  </si>
  <si>
    <t>Modelling Artificial Immune – Tumor Ecosystem Interaction During Radiation Therapy Using a Perceptron – Based Antigen Pattern Recognition</t>
  </si>
  <si>
    <t>Morphological communication for swarms</t>
  </si>
  <si>
    <t>Phase Spaces of the Strategy Evolution in the El Farol Bar Problem</t>
  </si>
  <si>
    <t>Localization, bistability and optimal seeding of contagions on higher-order networks</t>
  </si>
  <si>
    <t>Communication in Decision Making: Competition favors Inequality</t>
  </si>
  <si>
    <t>The Importance of Open-Endedness (for the Sake of Open-Endedness)</t>
  </si>
  <si>
    <t>Adapting to Unseen Environments through Explicit Representation of Context</t>
  </si>
  <si>
    <t>Measuring Autonomy for Life-Like AI</t>
  </si>
  <si>
    <t>How Different Encodings Affect Performance and Diversification when Evolving the Morphology and Control of 2D Virtual Creatures</t>
  </si>
  <si>
    <t>A compiler framework to derive microfluidic platforms for manufacturing hierarchical, compartmentalized structures that maximize yield of chemical reactions</t>
  </si>
  <si>
    <t>Modeling the Impact of Social Comparison on Student Engagement by the Equity Theory</t>
  </si>
  <si>
    <t>Reactive or Stable: A Plant-inspired Approach for Organisation Morphogenesis</t>
  </si>
  <si>
    <t>On two information-theoretic measures of random fuzzy networks</t>
  </si>
  <si>
    <t>Simulations on Herding a Flock of Birds Away from an Aircraft using an Unmanned Aerial Vehicle</t>
  </si>
  <si>
    <t>Untangling chromosome mis-segregation from mutation in cancer initiation</t>
  </si>
  <si>
    <t>Visual Hide and Seek</t>
  </si>
  <si>
    <t>Resilient Life: An Exploration of Perturbed Autopoietic Patterns in Conway’s Game of Life</t>
  </si>
  <si>
    <t>Designing Computational Substrates using Open-Ended Evolution</t>
  </si>
  <si>
    <t>Exploring the robustness of insect-inspired visual navigation for flying robots</t>
  </si>
  <si>
    <t>Effects of Hindsight Supervision, Population Size, and Inner Speech on Multi-Agent Reinforcement Learning to Communicate</t>
  </si>
  <si>
    <t>Adapting to a changing environment: Simulating the effects of noise on animal sonification</t>
  </si>
  <si>
    <t>Adaptive One-dimensional Crawling Robot Driven by Simple Decentralized Control Mechanism</t>
  </si>
  <si>
    <t>Dynamical Systems Analysis of a Protocell</t>
  </si>
  <si>
    <t>Architectural Plasticity in Spiking Neural Networks</t>
  </si>
  <si>
    <t>One-dimensional reaction-diffusion model for intra- and inter- biofilm oscillatory dynamics</t>
  </si>
  <si>
    <t>How Lévy Flights Triggered by Presence of Defectors Affect Evolution of Cooperation in Spatial Games</t>
  </si>
  <si>
    <t>When Specialists Transition to Generalists: Evolutionary Pressure in Lexicase Selection</t>
  </si>
  <si>
    <t>Modeling the Influence of Social Feedback on Altruism using Multi-Agent Systems</t>
  </si>
  <si>
    <t>Emerging Representations for Counting in a Neural Network Agent Interacting with a Multimodal Environment</t>
  </si>
  <si>
    <t>Neuroevolution in dynamically changing environments</t>
  </si>
  <si>
    <t>MorphWorld: A State Transition Simulator</t>
  </si>
  <si>
    <t>Understanding biological plume tracking behavior using deep reinforcement-learning</t>
  </si>
  <si>
    <t>Innovation, Variation, and Emergence in an Automata Chemistry</t>
  </si>
  <si>
    <t>Interaction Between Evolution and Learning in NK Fitness Landscapes</t>
  </si>
  <si>
    <t>Experimental study of the effect of system composition on artificial chemotaxis of droplets</t>
  </si>
  <si>
    <t>A Precarious Sensorimotor Sequence Reiterator for Modelling Enactive Habits</t>
  </si>
  <si>
    <t>Emergence of Multistrain Epidemics with an Underlying Genotype Network</t>
  </si>
  <si>
    <t>Adrien Ecoffet</t>
  </si>
  <si>
    <t>Abida Ghouri</t>
  </si>
  <si>
    <t>Edmund R. Hunt</t>
  </si>
  <si>
    <t>Joshua Powers</t>
  </si>
  <si>
    <t>Nathan A. Brooks</t>
  </si>
  <si>
    <t>Manuel Baltieri</t>
  </si>
  <si>
    <t>Heinrich Mellmann</t>
  </si>
  <si>
    <t>Acacia Ackles</t>
  </si>
  <si>
    <t>Merihan Alhafnawi</t>
  </si>
  <si>
    <t>Lauren Benson</t>
  </si>
  <si>
    <t>Ditlev H. Bornebusch</t>
  </si>
  <si>
    <t>Palin Choviwatana</t>
  </si>
  <si>
    <t>Hugo Cisneros</t>
  </si>
  <si>
    <t>Paul Ecoffet</t>
  </si>
  <si>
    <t>Zineb Elhamer</t>
  </si>
  <si>
    <t>Jan Engelhardt</t>
  </si>
  <si>
    <t>Matt Grove</t>
  </si>
  <si>
    <t>Thomas Helmuth</t>
  </si>
  <si>
    <t>Golnar Gharooni Fard</t>
  </si>
  <si>
    <t>Carsten Hahn</t>
  </si>
  <si>
    <t>Toby Howison</t>
  </si>
  <si>
    <t>Nicolas Lobato-Dauzier</t>
  </si>
  <si>
    <t>Leni Le Goff</t>
  </si>
  <si>
    <t>Omer Markovitch</t>
  </si>
  <si>
    <t>Hoang Nguyen</t>
  </si>
  <si>
    <t>Asheesh Sharma</t>
  </si>
  <si>
    <t>Guillaume St-Onge</t>
  </si>
  <si>
    <t>Jacopo Talamini</t>
  </si>
  <si>
    <t>Demyan Vakhrameev</t>
  </si>
  <si>
    <t>Wen-Chi Yang</t>
  </si>
  <si>
    <t>Octavio Zapata</t>
  </si>
  <si>
    <t>Pourya Aliasghari</t>
  </si>
  <si>
    <t>Boyuan Chen</t>
  </si>
  <si>
    <t>Arta Cika</t>
  </si>
  <si>
    <t>Matthew Dale</t>
  </si>
  <si>
    <t>Alex Dewar</t>
  </si>
  <si>
    <t>Takeshi Kano</t>
  </si>
  <si>
    <t>Yan Kolezhitskiy</t>
  </si>
  <si>
    <t>Taishi Mikami</t>
  </si>
  <si>
    <t>Ilja Rausch</t>
  </si>
  <si>
    <t>Silvester Sabathiel</t>
  </si>
  <si>
    <t>Matthew Shan</t>
  </si>
  <si>
    <t>Satpreet H. Singh</t>
  </si>
  <si>
    <t>Graham Todd</t>
  </si>
  <si>
    <t>Blake Williams</t>
  </si>
  <si>
    <t>Brian Dahlberg</t>
  </si>
  <si>
    <t>Eduardo Izquierdo</t>
  </si>
  <si>
    <t>Shamreen Iram</t>
  </si>
  <si>
    <t>Joshua Chiel</t>
  </si>
  <si>
    <t>Julia Pelesko</t>
  </si>
  <si>
    <t>Nikhil Krishnan</t>
  </si>
  <si>
    <t>Ozenc Gungor</t>
  </si>
  <si>
    <t>Benjamin Kuznets- Speck</t>
  </si>
  <si>
    <t>Sebastian Deffner</t>
  </si>
  <si>
    <t>Efe Illker</t>
  </si>
  <si>
    <t>Jacob Scott</t>
  </si>
  <si>
    <t>Michael Hinczewski</t>
  </si>
  <si>
    <t>Jeff Clune</t>
  </si>
  <si>
    <t>Joel Lehman</t>
  </si>
  <si>
    <t>Chloe M. Barnes</t>
  </si>
  <si>
    <t>Peter R. Lewis</t>
  </si>
  <si>
    <t>George Jenkinson</t>
  </si>
  <si>
    <t>Michael Wilsher</t>
  </si>
  <si>
    <t>Carl P. Dettmann</t>
  </si>
  <si>
    <t>Ryan Grindle</t>
  </si>
  <si>
    <t>Sam Kriegman</t>
  </si>
  <si>
    <t>Lapo Frati</t>
  </si>
  <si>
    <t>Nick Cheney</t>
  </si>
  <si>
    <t>Sarah Pell</t>
  </si>
  <si>
    <t>Siddharth Priya</t>
  </si>
  <si>
    <t>Chrystopher Nehaniv</t>
  </si>
  <si>
    <t>Susana Ramírez-Vizcaya</t>
  </si>
  <si>
    <t>Masanori Takano</t>
  </si>
  <si>
    <t>Kenichi Nakazato</t>
  </si>
  <si>
    <t>Simon T. Powers</t>
  </si>
  <si>
    <t>James M. Borg</t>
  </si>
  <si>
    <t>Yasmin Merali</t>
  </si>
  <si>
    <t>Christopher Buckley</t>
  </si>
  <si>
    <t>Jelle Bruineberg</t>
  </si>
  <si>
    <t>Jasmine Berry</t>
  </si>
  <si>
    <t>Francisco Valero-Cuevas</t>
  </si>
  <si>
    <t>Dobromir Dotov</t>
  </si>
  <si>
    <t>Kingson Man</t>
  </si>
  <si>
    <t>Antonio Damasio</t>
  </si>
  <si>
    <t>David Matthews</t>
  </si>
  <si>
    <t>Benjamin Schlotter</t>
  </si>
  <si>
    <t>Lea Musiolek</t>
  </si>
  <si>
    <t>Verena Hafner</t>
  </si>
  <si>
    <t>Connor Grady</t>
  </si>
  <si>
    <t>Paul O’Dowd</t>
  </si>
  <si>
    <t>Marco Catto</t>
  </si>
  <si>
    <t>Christina C. Soerensen</t>
  </si>
  <si>
    <t>Peter Zingg</t>
  </si>
  <si>
    <t>Gianluca Gazzola</t>
  </si>
  <si>
    <t>Norman Packard</t>
  </si>
  <si>
    <t>Steen Rasmussen</t>
  </si>
  <si>
    <t>Shota Ejima</t>
  </si>
  <si>
    <t>Josef Sivic</t>
  </si>
  <si>
    <t>Jean-Baptiste André</t>
  </si>
  <si>
    <t>Nicolas Bredeche</t>
  </si>
  <si>
    <t>Joseph N. Burchett</t>
  </si>
  <si>
    <t>J. Xavier Prochaska</t>
  </si>
  <si>
    <t>Angus G. Forbes</t>
  </si>
  <si>
    <t>Bent Andresen</t>
  </si>
  <si>
    <t>Fiona Polack</t>
  </si>
  <si>
    <t>Edward Pantridge</t>
  </si>
  <si>
    <t>Grace Woolson</t>
  </si>
  <si>
    <t>Lee Spector</t>
  </si>
  <si>
    <t>Nigel R. Franks</t>
  </si>
  <si>
    <t>Roland J. Baddeley</t>
  </si>
  <si>
    <t>Elizabeth Bradley</t>
  </si>
  <si>
    <t>Paula Wikidal</t>
  </si>
  <si>
    <t>Josie Hughes</t>
  </si>
  <si>
    <t>Fumiya Iida</t>
  </si>
  <si>
    <t>Johannes H. Jensen</t>
  </si>
  <si>
    <t>Matthew Lewis</t>
  </si>
  <si>
    <t>Lola Cañamero</t>
  </si>
  <si>
    <t>Germán Kruszewski</t>
  </si>
  <si>
    <t>Leo Cazenille</t>
  </si>
  <si>
    <t>Teruo Fujii</t>
  </si>
  <si>
    <t>Anthony J. Genot</t>
  </si>
  <si>
    <t>Emma Hart</t>
  </si>
  <si>
    <t>Alexandre Coninx</t>
  </si>
  <si>
    <t>Stéphane Doncieux</t>
  </si>
  <si>
    <t>Edgar Buchanan</t>
  </si>
  <si>
    <t>Agoston Eiben</t>
  </si>
  <si>
    <t>Wei Li</t>
  </si>
  <si>
    <t>Matteo de Carlo</t>
  </si>
  <si>
    <t>Matthew Hale</t>
  </si>
  <si>
    <t>Mike Angus</t>
  </si>
  <si>
    <t>Robert Woolley</t>
  </si>
  <si>
    <t>Jon Timmis</t>
  </si>
  <si>
    <t>Alan Winfield</t>
  </si>
  <si>
    <t>Andy Tyrrel</t>
  </si>
  <si>
    <t>Peter Todd</t>
  </si>
  <si>
    <t>Azumi Mamiya</t>
  </si>
  <si>
    <t>Boris Kramer</t>
  </si>
  <si>
    <t>Franz Weissing</t>
  </si>
  <si>
    <t>Sander Van Doorn</t>
  </si>
  <si>
    <t>Sijbren Otto</t>
  </si>
  <si>
    <t>Itsuki Doi</t>
  </si>
  <si>
    <t>Ryuta Aoki</t>
  </si>
  <si>
    <t>Peter Banda</t>
  </si>
  <si>
    <t>Darko Stefanovic</t>
  </si>
  <si>
    <t>Christof Teuscher</t>
  </si>
  <si>
    <t>Felix Hohnstein</t>
  </si>
  <si>
    <t>Robert Mueller</t>
  </si>
  <si>
    <t>Simon M. Hofmann</t>
  </si>
  <si>
    <t>Yasuhiro Hashimoto</t>
  </si>
  <si>
    <t>Alexander Mikos</t>
  </si>
  <si>
    <t>Harold Fellermann</t>
  </si>
  <si>
    <t>Helmut Hauser</t>
  </si>
  <si>
    <t>Antoine Allard</t>
  </si>
  <si>
    <t>Laurent Hébert-Dufresne</t>
  </si>
  <si>
    <t>Cem Tutum</t>
  </si>
  <si>
    <t>Xabier Barandiaran</t>
  </si>
  <si>
    <t>Manuel Bedia</t>
  </si>
  <si>
    <t>Yuh-Huey Lee</t>
  </si>
  <si>
    <t>Kuo-Shih Yang</t>
  </si>
  <si>
    <t>Ada Diaconescu</t>
  </si>
  <si>
    <t>Hyobin Kim</t>
  </si>
  <si>
    <t>Kerstin Dautenhahn</t>
  </si>
  <si>
    <t>Arturo Araujo</t>
  </si>
  <si>
    <t>Peter J Bentley</t>
  </si>
  <si>
    <t>Shuran Song</t>
  </si>
  <si>
    <t>Hod Lipson</t>
  </si>
  <si>
    <t>Carl Vondrick</t>
  </si>
  <si>
    <t>Elissa Cohen</t>
  </si>
  <si>
    <t>Luther Seet</t>
  </si>
  <si>
    <t>Patrick Steinmann</t>
  </si>
  <si>
    <t>Wenqian Yin</t>
  </si>
  <si>
    <t>Arseny Moskvichev</t>
  </si>
  <si>
    <t>David Kadish</t>
  </si>
  <si>
    <t>Rodrigo Senofieni</t>
  </si>
  <si>
    <t>Akira Fukuhara</t>
  </si>
  <si>
    <t>Akio Ishiguro</t>
  </si>
  <si>
    <t>Claire Postlethwaite</t>
  </si>
  <si>
    <t>Katarzyna Kozdon</t>
  </si>
  <si>
    <t>Peter Bentley</t>
  </si>
  <si>
    <t>Munehiro Asally</t>
  </si>
  <si>
    <t>Johannes Nauta</t>
  </si>
  <si>
    <t>Pieter Simoens</t>
  </si>
  <si>
    <t>James McClelland</t>
  </si>
  <si>
    <t>Trygve Solstad</t>
  </si>
  <si>
    <t>Anthony Clark</t>
  </si>
  <si>
    <t>Floris van Breugel</t>
  </si>
  <si>
    <t>Rajesh P. N. Rao</t>
  </si>
  <si>
    <t>Bingni W. Brunton</t>
  </si>
  <si>
    <t>Simon Hickinbotham</t>
  </si>
  <si>
    <t>Jakub Vaculik</t>
  </si>
  <si>
    <t>Jitka Cejkova</t>
  </si>
  <si>
    <t>Felix Woolford</t>
  </si>
  <si>
    <t>Alex May</t>
  </si>
  <si>
    <t>Hazel Parry</t>
  </si>
  <si>
    <t>James Cook</t>
  </si>
  <si>
    <t>Niels Høiby</t>
  </si>
  <si>
    <t>Hans J. Ziock</t>
  </si>
  <si>
    <t>Jiayu Wu</t>
  </si>
  <si>
    <t>Cyriel Diels</t>
  </si>
  <si>
    <t>Stephen Boyd Davis</t>
  </si>
  <si>
    <t>Yuki Kubota</t>
  </si>
  <si>
    <t>Masahiko Inami</t>
  </si>
  <si>
    <t>Christoph Adami</t>
  </si>
  <si>
    <t>Jim Cuijpers</t>
  </si>
  <si>
    <t>Bahadir Gülhan</t>
  </si>
  <si>
    <t>John Long</t>
  </si>
  <si>
    <t>Fritz Francisco</t>
  </si>
  <si>
    <t>Juliane Lukas</t>
  </si>
  <si>
    <t>Tim Landgraf</t>
  </si>
  <si>
    <t>Moritz Maxeiner</t>
  </si>
  <si>
    <t>Verena V. Hafner</t>
  </si>
  <si>
    <t>Jens Krause</t>
  </si>
  <si>
    <t>Vincent Lebastard</t>
  </si>
  <si>
    <t>Frédéric Boyer</t>
  </si>
  <si>
    <t>Michael Brown</t>
  </si>
  <si>
    <t>Brent Utter</t>
  </si>
  <si>
    <t>Stjepan Bogdan</t>
  </si>
  <si>
    <t>Antonio Diaz-Espejo</t>
  </si>
  <si>
    <t>Laura Garcia-Carmona</t>
  </si>
  <si>
    <t>Virginia Hernandez-Santana</t>
  </si>
  <si>
    <t>Serge Kernbach</t>
  </si>
  <si>
    <t>Andreas Kernbach</t>
  </si>
  <si>
    <t>Alfredo Quijano-lopez</t>
  </si>
  <si>
    <t>Babak Salamat</t>
  </si>
  <si>
    <t>Kostadin Angelov</t>
  </si>
  <si>
    <t>Sarah Schönwetter-Fuchs</t>
  </si>
  <si>
    <t>Valerin Stokanic</t>
  </si>
  <si>
    <t>Jutta Vollmann</t>
  </si>
  <si>
    <t>Daniel N. Hofstadler</t>
  </si>
  <si>
    <t>Martin Kärcher</t>
  </si>
  <si>
    <t>Volha Taliaronak</t>
  </si>
  <si>
    <t>Armands Kviesis</t>
  </si>
  <si>
    <t>Vitalijs Komasilovs</t>
  </si>
  <si>
    <t>Matthias A. Becher</t>
  </si>
  <si>
    <t>Martina Szopek</t>
  </si>
  <si>
    <t>David M. Dormagen</t>
  </si>
  <si>
    <t>Rafael Barmak</t>
  </si>
  <si>
    <t>Erol Bairaktarov</t>
  </si>
  <si>
    <t>Matthieu Broisin</t>
  </si>
  <si>
    <t>Rob Mills</t>
  </si>
  <si>
    <t>Stamatios C. Nicolis</t>
  </si>
  <si>
    <t>Alexandre Campo</t>
  </si>
  <si>
    <t>Aleksejs Zacepins</t>
  </si>
  <si>
    <t>Sergey Petrov</t>
  </si>
  <si>
    <t>Jean-Louis Deneubourg</t>
  </si>
  <si>
    <t>Francesco Mondada</t>
  </si>
  <si>
    <t>Verena Vanessa Hafner</t>
  </si>
  <si>
    <t>Simone Macrì</t>
  </si>
  <si>
    <t>Maurizio Porfiri</t>
  </si>
  <si>
    <t>Mariano Calvo Martin</t>
  </si>
  <si>
    <t>Jean Louis Deneubourg</t>
  </si>
  <si>
    <t>Yutetsu Kuruma</t>
  </si>
  <si>
    <t>Livia Leoni</t>
  </si>
  <si>
    <t>Joshua Cherian Varughese</t>
  </si>
  <si>
    <t>Sarah Schoenwetter-Fuchs</t>
  </si>
  <si>
    <t>Farshad Arvin</t>
  </si>
  <si>
    <t>Alexander Casson</t>
  </si>
  <si>
    <t>Chao Wu</t>
  </si>
  <si>
    <t>Barry Lennox</t>
  </si>
  <si>
    <t>Godfried Jansen van Vuuren</t>
  </si>
  <si>
    <t>Martin Worm</t>
  </si>
  <si>
    <t>Julian Petzold</t>
  </si>
  <si>
    <t>Peter M. Todd</t>
  </si>
  <si>
    <t>Elizaveta Solomonova</t>
  </si>
  <si>
    <t>Bill Duane</t>
  </si>
  <si>
    <t>Guillermo Iglesias</t>
  </si>
  <si>
    <t>Martín Gutiérrez</t>
  </si>
  <si>
    <t>Guillaume Gines</t>
  </si>
  <si>
    <t>Yannick Rondelez</t>
  </si>
  <si>
    <t>Tara Petric</t>
  </si>
  <si>
    <t>Namid Stillman</t>
  </si>
  <si>
    <t>Hans-Joachim Ziock</t>
  </si>
  <si>
    <t>Jelena Grujic</t>
  </si>
  <si>
    <t>Juan Carlos Burguillo</t>
  </si>
  <si>
    <t>David A. Rosenblueth</t>
  </si>
  <si>
    <t>Marian Lingsch Rosenfeld</t>
  </si>
  <si>
    <t>Sylvain Cussat-Blanc</t>
  </si>
  <si>
    <t>Yves Duthen</t>
  </si>
  <si>
    <t>Sam Meyer</t>
  </si>
  <si>
    <t>Guillaume Beslon</t>
  </si>
  <si>
    <t>John Chuang</t>
  </si>
  <si>
    <t>Jordi Arranz</t>
  </si>
  <si>
    <t>Cedric Perret</t>
  </si>
  <si>
    <t>Katsuma Inoue</t>
  </si>
  <si>
    <t>Satoshi Nishikawa</t>
  </si>
  <si>
    <t>Kohei Nakajima</t>
  </si>
  <si>
    <t>Ryuma Niiyama</t>
  </si>
  <si>
    <t>Yasuo Kuniyoshi</t>
  </si>
  <si>
    <t>Tommaso P Fraccia</t>
  </si>
  <si>
    <t>Daniel W. Franks</t>
  </si>
  <si>
    <t>James Alfred Walker</t>
  </si>
  <si>
    <t>Bert Chan</t>
  </si>
  <si>
    <t>Victoria Cao</t>
  </si>
  <si>
    <t>Konrad Miazga</t>
  </si>
  <si>
    <t>Jabez Leong Kit</t>
  </si>
  <si>
    <t>Seung Ki Baek</t>
  </si>
  <si>
    <t>Dieter Vanderelst</t>
  </si>
  <si>
    <t>Herbert Peremans</t>
  </si>
  <si>
    <t>Greg Furman</t>
  </si>
  <si>
    <t>Marilia Lyra Bergamo</t>
  </si>
  <si>
    <t>Namid Ram Stillman</t>
  </si>
  <si>
    <t>Tania M. Palacios-Romo</t>
  </si>
  <si>
    <t>Sandra E. Smith Aguilar</t>
  </si>
  <si>
    <t>Luca Versari</t>
  </si>
  <si>
    <t>Daniel Ratke</t>
  </si>
  <si>
    <t>Lenz Belzner</t>
  </si>
  <si>
    <t>Claudia Linnhof-Popien</t>
  </si>
  <si>
    <t>Tomáš Musil</t>
  </si>
  <si>
    <t>Ondrej Dusek</t>
  </si>
  <si>
    <t>Dominik Jurko</t>
  </si>
  <si>
    <t>Patrícia Schmidtová</t>
  </si>
  <si>
    <t>David Marecek</t>
  </si>
  <si>
    <t>Ondˇrej Bojar</t>
  </si>
  <si>
    <t>Tom Kocmi</t>
  </si>
  <si>
    <t>Daniel Hrbek</t>
  </si>
  <si>
    <t>David Košt’ák</t>
  </si>
  <si>
    <t>Martina Kinská</t>
  </si>
  <si>
    <t>Marie Nováková</t>
  </si>
  <si>
    <t>Josef Doležal</t>
  </si>
  <si>
    <t>Klára Vosecká</t>
  </si>
  <si>
    <t>Tomáš Studeník</t>
  </si>
  <si>
    <t>Petr Žabka</t>
  </si>
  <si>
    <t>Soheil Keshmiri</t>
  </si>
  <si>
    <t>Hans- Georg Matuttis</t>
  </si>
  <si>
    <t>Martin Hanczyc</t>
  </si>
  <si>
    <t>David Barrow</t>
  </si>
  <si>
    <t>Mathias Weyland</t>
  </si>
  <si>
    <t>Rudolf Füchslin</t>
  </si>
  <si>
    <t>Siyan Li</t>
  </si>
  <si>
    <t>Ryohei Seki</t>
  </si>
  <si>
    <t>Takahiro Banno</t>
  </si>
  <si>
    <t>Kouki Kawai</t>
  </si>
  <si>
    <t>Paul Banse</t>
  </si>
  <si>
    <t>Martyn Amos</t>
  </si>
  <si>
    <t>Nicklas Carpenter</t>
  </si>
  <si>
    <t>Lightning talks</t>
  </si>
  <si>
    <t>Special session: Artificial Life and Society</t>
  </si>
  <si>
    <t>Special session: Hybrid Life</t>
  </si>
  <si>
    <t>Contributed talks</t>
  </si>
  <si>
    <t>Poster presentations</t>
  </si>
  <si>
    <t>How Can Artificial Life Help Solve Societal Challenges?</t>
  </si>
  <si>
    <t>Engineering Plants for Farming and Pharming . . . . . . . . . . . . . . . . . . . . . . . . . . . . . . . . . . . . . . . . . . . . . . . . . . . . . . . . 9</t>
  </si>
  <si>
    <t>Nicola Patron</t>
  </si>
  <si>
    <t>On the interplay of self-replication and self-reproduction in protocells . . . . . . . . . . . . . . . . . . . . . . . . . . . . . . . . . . 10</t>
  </si>
  <si>
    <t>Artificial Democratic Life. Re-engineering the autonomy of the social, a research program . . . . . . . . . . . . . 11</t>
  </si>
  <si>
    <t>Xabier E. Barandiaran</t>
  </si>
  <si>
    <t>Can Bio-Inspired Swarm Algorithms Scale to Modern Societal Problems? . . . . . . . . . . . . . . . . . . . . . . . . . . . . . . 13</t>
  </si>
  <si>
    <t>Darren Chitty, Elizabeth Wanner, Rakhi Parmar and Peter Lewis</t>
  </si>
  <si>
    <t>Towards Low-Carbon Conferencing: Acceptance of Virtual Conferencing Solutions and Other</t>
  </si>
  <si>
    <t>Sustainability Measures in the ALIFE Community . . . . . . . . . . . . . . . . . . . . . . . . . . . . . . . . . . . . . . . . . . . . . . . . . . . . 21</t>
  </si>
  <si>
    <t>Harold Fellermann, Alex Penn, Rudolf F¨uchslin, Jaume Bacardit and Angel Goni Moreno</t>
  </si>
  <si>
    <t>Suppleness and Open-Endedness for Social Sustainability . . . . . . . . . . . . . . . . . . . . . . . . . . . . . . . . . . . . . . . . . . . . . . 28</t>
  </si>
  <si>
    <t>Cities, a conceptual framing for a synthetic perspective . . . . . . . . . . . . . . . . . . . . . . . . . . . . . . . . . . . . . . . . . . . . . . . . 30</t>
  </si>
  <si>
    <t>Jes´us M. Siqueiros-Garc´ıa</t>
  </si>
  <si>
    <t>Quantifying affordances through information theory . . . . . . . . . . . . . . . . . . . . . . . . . . . . . . . . . . . . . . . . . . . . . . . . . . . 32</t>
  </si>
  <si>
    <t>Miguel Aguilera, I˜nigo Arandia-Romero and Manuel Heras-Escribano</t>
  </si>
  <si>
    <t>The dark room problem in predictive processing and active inference, a legacy of cognitivism? . . . . . . . . . 40</t>
  </si>
  <si>
    <t>Manuel Baltieri and Christopher Buckley</t>
  </si>
  <si>
    <t>NukaBot: Research and Design of a Human-Microbe Interaction model . . . . . . . . . . . . . . . . . . . . . . . . . . . . . . . . 48</t>
  </si>
  <si>
    <t>Dominique Chen, Hiraku Ogura and Young Ah Seong</t>
  </si>
  <si>
    <t>Hybrid Synthetic Approach to Animal Interaction . . . . . . . . . . . . . . . . . . . . . . . . . . . . . . . . . . . . . . . . . . . . . . . . . . . . . 50</t>
  </si>
  <si>
    <t>Hiroyuki Iizuka, Yosuke Nakamoto and Masahito Yamamoto</t>
  </si>
  <si>
    <t>An artificial life approach to studying niche differentiation in soundscape ecology . . . . . . . . . . . . . . . . . . . . . . 52</t>
  </si>
  <si>
    <t>David Kadish, Sebastian Risi and Laura Beloff</t>
  </si>
  <si>
    <t>Insect-Inspired Visual Navigation On-Board an Autonomous Robot: Real-World Routes Encoded in</t>
  </si>
  <si>
    <t>a Single Layer Network. . . . . . . . . . . . . . . . . . . . . . . . . . . . . . . . . . . . . . . . . . . . . . . . . . . . . . . . . . . . . . . . . . . . . . . . . . . . . . . . 60</t>
  </si>
  <si>
    <t>James Knight, Daniil Sakhapov, Norbert Domcsek, Alex Dewar, Paul Graham, Thomas Nowotny</t>
  </si>
  <si>
    <t>and Andrew Philippides</t>
  </si>
  <si>
    <t>Hybrid Variational Predictive Coding as a Bridge between Human and Artificial Cognition . . . . . . . . . . . . 68</t>
  </si>
  <si>
    <t>Andr´e Ofner and Sebastian Stober</t>
  </si>
  <si>
    <t>Sensorimotor contingency modulates visual awareness of virtual 3D objects . . . . . . . . . . . . . . . . . . . . . . . . . . . . 70</t>
  </si>
  <si>
    <t>Keisuke Suzuki, David Schwartzman, Rafael Augusto and Anil Seth</t>
  </si>
  <si>
    <t>Heuristics as Decision-making Habits of Autonomous Sensorimotor Agents . . . . . . . . . . . . . . . . . . . . . . . . . . . . 72</t>
  </si>
  <si>
    <t>Erasmo Batta and Christopher Stephens</t>
  </si>
  <si>
    <t>From embodied interaction to compositional referential communication: A minimal agent-based</t>
  </si>
  <si>
    <t>model without dedicated communication channels . . . . . . . . . . . . . . . . . . . . . . . . . . . . . . . . . . . . . . . . . . . . . . . . . . . . . 79</t>
  </si>
  <si>
    <t>Jorge I. Campos and Tom Froese</t>
  </si>
  <si>
    <t>Void Reduction in Self-Healing Swarms. . . . . . . . . . . . . . . . . . . . . . . . . . . . . . . . . . . . . . . . . . . . . . . . . . . . . . . . . . . . . . . . 87</t>
  </si>
  <si>
    <t>Neil Eliot, David Kendall, Alun Moon, Michael Brockway and Martyn Amos</t>
  </si>
  <si>
    <t>The ARE Robot Fabricator: How to (Re)produce Robots that Can Evolve in the Real World . . . . . . . . . . 95</t>
  </si>
  <si>
    <t>Matthew Hale, Edgar Buchanan, Alan Winfield, Jon Timmis, Emma Hart, Agoston Eiben, Mike</t>
  </si>
  <si>
    <t>Angus, Frank Veenstra, Wei Li, Robert Woolley, Matteo De Carlo and Andy Tyrrell</t>
  </si>
  <si>
    <t>Reinforcement Learning Agents acquire Flocking and Symbiotic Behaviour in Simulated Ecosystems . . . 103</t>
  </si>
  <si>
    <t>Peter Sunehag, Guy Lever, Siqi Liu, Josh Merel, Nicolas Heess, Joel Leibo, Edward Hughes, Tom</t>
  </si>
  <si>
    <t>Eccles and Thore Graepel</t>
  </si>
  <si>
    <t>Building a survivable protocell for a corrosive digital environment . . . . . . . . . . . . . . . . . . . . . . . . . . . . . . . . . . . . . 111</t>
  </si>
  <si>
    <t>Implementing MetaChem framework in Object Orientation . . . . . . . . . . . . . . . . . . . . . . . . . . . . . . . . . . . . . . . . . . . . 119</t>
  </si>
  <si>
    <t>Penelope Faulkner Rainford, Angelika Sebald and Susan Stepney</t>
  </si>
  <si>
    <t>A Meta-Atom Based Sub-Symbolic Artificial Chemistry . . . . . . . . . . . . . . . . . . . . . . . . . . . . . . . . . . . . . . . . . . . . . . . 127</t>
  </si>
  <si>
    <t>Isaac Watson, Angelika Sebald and Susan Stepney</t>
  </si>
  <si>
    <t>Pathways to Good Healthcare Services and Patient Satisfaction: An Evolutionary Game Theoretical</t>
  </si>
  <si>
    <t>Approach . . . . . . . . . . . . . . . . . . . . . . . . . . . . . . . . . . . . . . . . . . . . . . . . . . . . . . . . . . . . . . . . . . . . . . . . . . . . . . . . . . . . . . . . . . . . . 135</t>
  </si>
  <si>
    <t>Zainab Alalawi, The Anh Han, Yifeng Zeng and Aiman Elragig</t>
  </si>
  <si>
    <t>On the Expected Number and Distribution of Equilibria in Multi-player Evolutionary Games. . . . . . . . . . 143</t>
  </si>
  <si>
    <t>Hong Duong and The Anh Han</t>
  </si>
  <si>
    <t>Entropy-Based Team Self-Organization with Signal Suppression . . . . . . . . . . . . . . . . . . . . . . . . . . . . . . . . . . . . . . . 145</t>
  </si>
  <si>
    <t>David King, Lukas Esterle and Gilbert Peterson</t>
  </si>
  <si>
    <t>All in Good Team: Optimising Team Personalities for Different Dynamic Problems and Task Types . . . 153</t>
  </si>
  <si>
    <t>Soo Ling Lim and Peter Bentley</t>
  </si>
  <si>
    <t>Only Two Types of Strategies Enforce Linear Payoff Relationships Under Observation Errors in</t>
  </si>
  <si>
    <t>Repeated Prisoner’s Dilemma Games. . . . . . . . . . . . . . . . . . . . . . . . . . . . . . . . . . . . . . . . . . . . . . . . . . . . . . . . . . . . . . . . . . 161</t>
  </si>
  <si>
    <t>Emergence of Coordination with Asymmetric Benefits via Prior Commitment. . . . . . . . . . . . . . . . . . . . . . . . . . 163</t>
  </si>
  <si>
    <t>Bianca Ogbo Ndidi and The Anh Han</t>
  </si>
  <si>
    <t>Being a leader or being the leader: The evolution of institutionalised hierarchy . . . . . . . . . . . . . . . . . . . . . . . . 171</t>
  </si>
  <si>
    <t>Cedric Perret, Emma Hart and Simon Powers</t>
  </si>
  <si>
    <t>Generating urban morphologies at large scales . . . . . . . . . . . . . . . . . . . . . . . . . . . . . . . . . . . . . . . . . . . . . . . . . . . . . . . . . 179</t>
  </si>
  <si>
    <t>Juste Raimbault and Julien Perret</t>
  </si>
  <si>
    <t>Fairness in Multiplayer Ultimatum Games Through Moderate Responder Selection . . . . . . . . . . . . . . . . . . . . 187</t>
  </si>
  <si>
    <t>Fernando Santos and Daan Bloembergen</t>
  </si>
  <si>
    <t>Investigating the Origins of Cancer in the Intestinal Crypt with a Gene Network Agent Based Hybrid</t>
  </si>
  <si>
    <t>Model. . . . . . . . . . . . . . . . . . . . . . . . . . . . . . . . . . . . . . . . . . . . . . . . . . . . . . . . . . . . . . . . . . . . . . . . . . . . . . . . . . . . . . . . . . . . . . . . . 195</t>
  </si>
  <si>
    <t>Arturo Araujo, Hanxiao Zhang, Albert R¨ubben and Peter J Bentley</t>
  </si>
  <si>
    <t>A Hexagonal Cell Automaton Model to Imitate Physarum Polycephalum Competitive Behaviour . . . . . . 203</t>
  </si>
  <si>
    <t>Abubakr Awad, Wei Pang, David Lusseau and George Coghill</t>
  </si>
  <si>
    <t>A simplified model of chromatin dynamics drives differentiation process in Boolean models of GRN. . . . 211</t>
  </si>
  <si>
    <t>Michele Braccini, Andrea Roli, Marco Villani, Sara Montagna and Roberto Serra</t>
  </si>
  <si>
    <t>A reaction-diffusion model for simulating the oscillatory expansion of biofilms . . . . . . . . . . . . . . . . . . . . . . . . . 218</t>
  </si>
  <si>
    <t>Analyzing Evolution of Avian Influenza using detailed Genotypic and Antigenic Models and</t>
  </si>
  <si>
    <t>Phylodynamic Simulation . . . . . . . . . . . . . . . . . . . . . . . . . . . . . . . . . . . . . . . . . . . . . . . . . . . . . . . . . . . . . . . . . . . . . . . . . . . . . 220</t>
  </si>
  <si>
    <t>Liam Mosley and Dhananjai Rao</t>
  </si>
  <si>
    <t>Anomalies in the Behaviour of a Modularity Inducing Problem Domain. . . . . . . . . . . . . . . . . . . . . . . . . . . . . . . . 228</t>
  </si>
  <si>
    <t>Zhenyue Qin, Tom Gedeon and Bob McKay</t>
  </si>
  <si>
    <t>Optimizing Radiation Therapy Treatments by Exploring Tumour Ecosystem Dynamics in – silico . . . . . . 236</t>
  </si>
  <si>
    <t>Stephan Scheidegger and Harold Fellermann</t>
  </si>
  <si>
    <t>Horizontal Gene Transfer Leads to Increased Task Acquisition and Genomic Modularity in Digital</t>
  </si>
  <si>
    <t>Organisms . . . . . . . . . . . . . . . . . . . . . . . . . . . . . . . . . . . . . . . . . . . . . . . . . . . . . . . . . . . . . . . . . . . . . . . . . . . . . . . . . . . . . . . . . . . . 243</t>
  </si>
  <si>
    <t>Michael Wiser, Rosangela Canino-Koning and Charles Ofria</t>
  </si>
  <si>
    <t>Attractor Landscapes and Information Processing by Convective Obstacle Flows. . . . . . . . . . . . . . . . . . . . . . . 245</t>
  </si>
  <si>
    <t>Stuart Bartlett and Yuk Yung</t>
  </si>
  <si>
    <t>On Sexual Selection in the Presence of Multiple Costly Displays . . . . . . . . . . . . . . . . . . . . . . . . . . . . . . . . . . . . . . . 247</t>
  </si>
  <si>
    <t>Clifford Bohm, Acacia Ackles, Charles Ofria and Arend Hintze</t>
  </si>
  <si>
    <t>Steering the Growth of Adaptive Self-Preserving Dissipative Structures . . . . . . . . . . . . . . . . . . . . . . . . . . . . . . . . 255</t>
  </si>
  <si>
    <t>Matthew Egbert, Yan Kolezhitskiy and Nathaniel Virgo</t>
  </si>
  <si>
    <t>Complex Systems and Artificial Life: A Decade’s Overview . . . . . . . . . . . . . . . . . . . . . . . . . . . . . . . . . . . . . . . . . . . . 263</t>
  </si>
  <si>
    <t>Thomas McAtee and Claudia Szabo</t>
  </si>
  <si>
    <t>Inferring a Graph’s Topology from Games Played on It . . . . . . . . . . . . . . . . . . . . . . . . . . . . . . . . . . . . . . . . . . . . . . . . 271</t>
  </si>
  <si>
    <t>Douglas Moore and Sara Imari Walker</t>
  </si>
  <si>
    <t>Inferring Swarm Models Using a Single Monitoring Robot . . . . . . . . . . . . . . . . . . . . . . . . . . . . . . . . . . . . . . . . . . . . . 278</t>
  </si>
  <si>
    <t>Suppanat Ruangdech, Martin Homer and Sabine Hauert</t>
  </si>
  <si>
    <t>Convolutional Neural Networks for Cellular Automata Classification . . . . . . . . . . . . . . . . . . . . . . . . . . . . . . . . . . . 280</t>
  </si>
  <si>
    <t>Biochemical networks display universal structure across projections and levels of organization. . . . . . . . . . 282</t>
  </si>
  <si>
    <t>Harrison Smith, Hyunju Kim and Sara Walker</t>
  </si>
  <si>
    <t>Toward the Self-Organisation of Emergency Response Teams Based on Morphogenetic Network Growth284</t>
  </si>
  <si>
    <t>Nicolas Toussaint, Emma Norling and Ren´e Doursat</t>
  </si>
  <si>
    <t>Towards Complex Artificial Life . . . . . . . . . . . . . . . . . . . . . . . . . . . . . . . . . . . . . . . . . . . . . . . . . . . . . . . . . . . . . . . . . . . . . . . 292</t>
  </si>
  <si>
    <t>Environmental Harshness and Fitness Improving Innovations . . . . . . . . . . . . . . . . . . . . . . . . . . . . . . . . . . . . . . . . . . 300</t>
  </si>
  <si>
    <t>Reproductive division of labor in a colony of artificial ants . . . . . . . . . . . . . . . . . . . . . . . . . . . . . . . . . . . . . . . . . . . . . 308</t>
  </si>
  <si>
    <t>Peter Bae and Chris Marriott</t>
  </si>
  <si>
    <t>Exogenous Rewards for Promoting Cooperation in Scale-Free Networks . . . . . . . . . . . . . . . . . . . . . . . . . . . . . . . . 316</t>
  </si>
  <si>
    <t>Theodor Cimpeanu, The Anh Han and Francisco C. Santos</t>
  </si>
  <si>
    <t>Simplified Modeling of the Evolution of Skills in a Spatially Resolved Environment . . . . . . . . . . . . . . . . . . . . 324</t>
  </si>
  <si>
    <t>Rudolf M. F¨uchslin, Johannes J. Schneider, Thomas Ott and Richard Walker</t>
  </si>
  <si>
    <t>Promoting Cooperation through External Interference . . . . . . . . . . . . . . . . . . . . . . . . . . . . . . . . . . . . . . . . . . . . . . . . . 331</t>
  </si>
  <si>
    <t>The Anh Han, Long Tran-Thanh, Simon Lynch, Theodor Cimpeanu and Francisco C. Santos</t>
  </si>
  <si>
    <t>Factors that Affect the Evolution of Complex Cooperative Behavior . . . . . . . . . . . . . . . . . . . . . . . . . . . . . . . . . . . 333</t>
  </si>
  <si>
    <t>Padmini Rajagopalan, Kay Holekamp and Risto Miikkulainen</t>
  </si>
  <si>
    <t>Towards modelling social habits: an organismically inspired evolutionary robotics approach . . . . . . . . . . . . 341</t>
  </si>
  <si>
    <t>Manuel G Bedia, Manuel Heras-Escribano, Diego Cajal, Miguel Aguilera and Xabier E. Barandiaran</t>
  </si>
  <si>
    <t>Speciation under changing environments . . . . . . . . . . . . . . . . . . . . . . . . . . . . . . . . . . . . . . . . . . . . . . . . . . . . . . . . . . . . . . 349</t>
  </si>
  <si>
    <t>Kevin Dubois, Sylvain Cussat-Blanc and Yves Duthen</t>
  </si>
  <si>
    <t>To evolve or not to evolve? That is the question . . . . . . . . . . . . . . . . . . . . . . . . . . . . . . . . . . . . . . . . . . . . . . . . . . . . . . . 357</t>
  </si>
  <si>
    <t>Alex Ellery and Gusz Eiben</t>
  </si>
  <si>
    <t>Evolutionary rates of information gain and decay in fluctuating environments . . . . . . . . . . . . . . . . . . . . . . . . . . 365</t>
  </si>
  <si>
    <t>Modulating Interaction Times in an Artificial Society of Robots . . . . . . . . . . . . . . . . . . . . . . . . . . . . . . . . . . . . . . . 372</t>
  </si>
  <si>
    <t>Yara Khaluf and Heiko Hamann</t>
  </si>
  <si>
    <t>Acclivation of Virtual Fitness Landscapes . . . . . . . . . . . . . . . . . . . . . . . . . . . . . . . . . . . . . . . . . . . . . . . . . . . . . . . . . . . . . 380</t>
  </si>
  <si>
    <t>Ben Kovitz, David Bender and Marcela Poffald</t>
  </si>
  <si>
    <t>Continuous Long-Term Evolution of Genetic Programming . . . . . . . . . . . . . . . . . . . . . . . . . . . . . . . . . . . . . . . . . . . . 388</t>
  </si>
  <si>
    <t>W B Langdon and W Banzhaf</t>
  </si>
  <si>
    <t>The impact of environmental history on evolved robot properties . . . . . . . . . . . . . . . . . . . . . . . . . . . . . . . . . . . . . . 396</t>
  </si>
  <si>
    <t>Karine Miras and A.E. Eiben</t>
  </si>
  <si>
    <t>The Cost of Big Brains in Groups . . . . . . . . . . . . . . . . . . . . . . . . . . . . . . . . . . . . . . . . . . . . . . . . . . . . . . . . . . . . . . . . . . . . . 404</t>
  </si>
  <si>
    <t>Geoff Nitschke, Alex Furman and Danielle Nagar</t>
  </si>
  <si>
    <t>Graph Product Representation of Organism-Environment Couplings in Evolution . . . . . . . . . . . . . . . . . . . . . . 412</t>
  </si>
  <si>
    <t>Maximization of Transfer Entropy leads to Evolution of Functional Differentiation of Swarms . . . . . . . . . . 414</t>
  </si>
  <si>
    <t>Hiromitsu Suganuma, Yuji Kawai, Jihoon Park and Minoru Asada</t>
  </si>
  <si>
    <t>Evolving Recurrent Neural Network Controllers by Incremental Fitness Shaping . . . . . . . . . . . . . . . . . . . . . . . 416</t>
  </si>
  <si>
    <t>Kaan Akinci and Andy Philippides</t>
  </si>
  <si>
    <t>Self-Replication in Neural Networks . . . . . . . . . . . . . . . . . . . . . . . . . . . . . . . . . . . . . . . . . . . . . . . . . . . . . . . . . . . . . . . . . . . 424</t>
  </si>
  <si>
    <t>Thomas Gabor, Steffen Illium, Andy Mattausch, Lenz Belzner and Claudia Linnhoff-Popien</t>
  </si>
  <si>
    <t>The role of ambient noise in the evolution of robust mental representations in cognitive systems . . . . . . . 432</t>
  </si>
  <si>
    <t>Probabilistic Program Neurogenesis . . . . . . . . . . . . . . . . . . . . . . . . . . . . . . . . . . . . . . . . . . . . . . . . . . . . . . . . . . . . . . . . . . . 440</t>
  </si>
  <si>
    <t>Charles Martin and Praveen Pilly</t>
  </si>
  <si>
    <t>Self-optimization in a Hopfield neural network based on the C. elegans connectome . . . . . . . . . . . . . . . . . . . . 448</t>
  </si>
  <si>
    <t>Alejandro Ehecatl Morales Huitr´on and Tom Froese</t>
  </si>
  <si>
    <t>DNN Architecture for High Performance Prediction on Natural Videos Loses Submodule’s Ability to</t>
  </si>
  <si>
    <t>Learn Discrete-World Dataset . . . . . . . . . . . . . . . . . . . . . . . . . . . . . . . . . . . . . . . . . . . . . . . . . . . . . . . . . . . . . . . . . . . . . . . . . 454</t>
  </si>
  <si>
    <t>Lana Sinapayen and Atsushi Noda</t>
  </si>
  <si>
    <t>Evolution of metamemory ability by artificial neural networks with neuromodulation . . . . . . . . . . . . . . . . . . 461</t>
  </si>
  <si>
    <t>Robotic models of obstacle avoidance in bats: assessing the benefit of acoustic gaze scanning in</t>
  </si>
  <si>
    <t>complex environments . . . . . . . . . . . . . . . . . . . . . . . . . . . . . . . . . . . . . . . . . . . . . . . . . . . . . . . . . . . . . . . . . . . . . . . . . . . . . . . . . 463</t>
  </si>
  <si>
    <t>Carl Bou Mansour, Elijah Koreman, Dennis Laurijssen, Jan Steckel, Herbert Peremans and Dieter</t>
  </si>
  <si>
    <t>Vanderelst</t>
  </si>
  <si>
    <t>A-life Evolution with Human Proxies . . . . . . . . . . . . . . . . . . . . . . . . . . . . . . . . . . . . . . . . . . . . . . . . . . . . . . . . . . . . . . . . . . 465</t>
  </si>
  <si>
    <t>Vadim Bulitko, Kacy Doucet, Daniel Evans, Hope Docking, Mac Walters, Marilene Oliver, Julian</t>
  </si>
  <si>
    <t>Chow, Shelby Carleton and Natali Kendal-Freedman</t>
  </si>
  <si>
    <t>Stability of Cooperation in Societies of Emotional and Moody Agents . . . . . . . . . . . . . . . . . . . . . . . . . . . . . . . . . 467</t>
  </si>
  <si>
    <t>Joe Collenette, Katie Atkinson, Daan Bloembergen and Karl Tuyls</t>
  </si>
  <si>
    <t>Effects of Visual Sensory Range on the Emergence of Cognition in Early Terrestrial Vertebrates: An</t>
  </si>
  <si>
    <t>Agent-Based Modeling Approach . . . . . . . . . . . . . . . . . . . . . . . . . . . . . . . . . . . . . . . . . . . . . . . . . . . . . . . . . . . . . . . . . . . . . . 475</t>
  </si>
  <si>
    <t>Can Gurkan, Leif Rasmussen and Uri Wilensky</t>
  </si>
  <si>
    <t>When is an action caused from within? Quantifying the causal chain leading to actions in simulated</t>
  </si>
  <si>
    <t>agents . . . . . . . . . . . . . . . . . . . . . . . . . . . . . . . . . . . . . . . . . . . . . . . . . . . . . . . . . . . . . . . . . . . . . . . . . . . . . . . . . . . . . . . . . . . . . . . . 477</t>
  </si>
  <si>
    <t>Bjørn Erik Juel, Renzo Comolatti, Giulio Tononi and Larissa Albantakis</t>
  </si>
  <si>
    <t>Measuring properties of movement in populations of evolved 3D agents . . . . . . . . . . . . . . . . . . . . . . . . . . . . . . . . 485</t>
  </si>
  <si>
    <t>Edge of Chaos: Artificial Life based interactive art installation . . . . . . . . . . . . . . . . . . . . . . . . . . . . . . . . . . . . . . . . 493</t>
  </si>
  <si>
    <t>Vasilija Abramovic and Ruairi Glynn</t>
  </si>
  <si>
    <t>Autopoiesis in digital learning design: Theoretical implications in education . . . . . . . . . . . . . . . . . . . . . . . . . . . 495</t>
  </si>
  <si>
    <t>Claudio Aguayo</t>
  </si>
  <si>
    <t>How to reduce a genome? ALife as a tool to teach the scientific method to school pupils . . . . . . . . . . . . . . . 497</t>
  </si>
  <si>
    <t>Quentin Carde, Marco Foley, Carole Knibbe, David P. Parsons, Jonathan Rouzaud-Cornabas and</t>
  </si>
  <si>
    <t>Gathering of the Hive: Investigating the clustering behaviour of honeybees through art and swarm</t>
  </si>
  <si>
    <t>robotics . . . . . . . . . . . . . . . . . . . . . . . . . . . . . . . . . . . . . . . . . . . . . . . . . . . . . . . . . . . . . . . . . . . . . . . . . . . . . . . . . . . . . . . . . . . . . . . 505</t>
  </si>
  <si>
    <t>Haakon Haraldsen Roen, Vako Vartkes Varankian, Stefano Nichele and Kristin Bergaust</t>
  </si>
  <si>
    <t>Data Standards for Artificial Life Software . . . . . . . . . . . . . . . . . . . . . . . . . . . . . . . . . . . . . . . . . . . . . . . . . . . . . . . . . . . . 507</t>
  </si>
  <si>
    <t>Alexander Lalejini, Emily Dolson, Clifford Bohm, Austin J. Ferguson, David P. Parsons, Penelope</t>
  </si>
  <si>
    <t>Faulkner Rainford, Paul Richmond and Charles Ofria</t>
  </si>
  <si>
    <t>Organic Selection and Social Heredity: The Original Baldwin Effect Revisited . . . . . . . . . . . . . . . . . . . . . . . . . 515</t>
  </si>
  <si>
    <t>Nam Le</t>
  </si>
  <si>
    <t>Morphogenetic Vase Forms . . . . . . . . . . . . . . . . . . . . . . . . . . . . . . . . . . . . . . . . . . . . . . . . . . . . . . . . . . . . . . . . . . . . . . . . . . . . 523</t>
  </si>
  <si>
    <t>Andy Lomas</t>
  </si>
  <si>
    <t>Spatial Representation of Self and Other by Superposition Neural Network Model . . . . . . . . . . . . . . . . . . . . . 531</t>
  </si>
  <si>
    <t>Wataru Noguchi, Hiroyuki Iizuka, Shigeru Taguchi and Masahito Yamamoto</t>
  </si>
  <si>
    <t>Artificial Ant Colonies for Adaptive Rewards in Serious Games . . . . . . . . . . . . . . . . . . . . . . . . . . . . . . . . . . . . . . . . 533</t>
  </si>
  <si>
    <t>Yann Semet, Bruno Marcon, Konstantinos Demestichas, Nikos Koutsouris and Antonio Ascolese</t>
  </si>
  <si>
    <t>The Effects of Individual and Social Learning on the Evolution of Cognitive and Communicative</t>
  </si>
  <si>
    <t>Aspects of Language Abilities . . . . . . . . . . . . . . . . . . . . . . . . . . . . . . . . . . . . . . . . . . . . . . . . . . . . . . . . . . . . . . . . . . . . . . . . . 541</t>
  </si>
  <si>
    <t>Hiroto Yonenoh, Reiji Suzuki and Takaya Arita</t>
  </si>
  <si>
    <t>Neuroevolution of Humanoids that Walk Further and Faster with Robust Gaits. . . . . . . . . . . . . . . . . . . . . . . . 543</t>
  </si>
  <si>
    <t>Ben Jackson and Alastair Channon</t>
  </si>
  <si>
    <t>The Limits of Lexicase Selection in an Evolutionary Robotics Task . . . . . . . . . . . . . . . . . . . . . . . . . . . . . . . . . . . . 551</t>
  </si>
  <si>
    <t>Improve Quadrupedal Locomotion with Actuated or Passive Joints? . . . . . . . . . . . . . . . . . . . . . . . . . . . . . . . . . . . 559</t>
  </si>
  <si>
    <t>Ego-Noise Predictions for Echolocation in Wheeled Robots . . . . . . . . . . . . . . . . . . . . . . . . . . . . . . . . . . . . . . . . . . . . 567</t>
  </si>
  <si>
    <t>Antonio Pico Villalpando, Guido Schillaci, Verena Hafner and Bruno Lara</t>
  </si>
  <si>
    <t>Evolutionary Synthesis of Sensing Controllers for Voxel-based Soft Robots . . . . . . . . . . . . . . . . . . . . . . . . . . . . . 574</t>
  </si>
  <si>
    <t>Jacopo Talamini, Eric Medvet, Alberto Bartoli and Andrea De Lorenzo</t>
  </si>
  <si>
    <t>Different Forms of Random Motor Activity Scaffold the Formation of Different Habits in a Simulated</t>
  </si>
  <si>
    <t>Robot. . . . . . . . . . . . . . . . . . . . . . . . . . . . . . . . . . . . . . . . . . . . . . . . . . . . . . . . . . . . . . . . . . . . . . . . . . . . . . . . . . . . . . . . . . . . . . . . . 582</t>
  </si>
  <si>
    <t>Mario Zarco and Matthew Egbert</t>
  </si>
  <si>
    <t>Guiding aggregation dynamics in a swarm of agents via informed individuals: an analytical study. . . . . . 590</t>
  </si>
  <si>
    <t>Yannick Gillet, Eliseo Ferrante, Ziya Firat and Elio Tuci</t>
  </si>
  <si>
    <t>Emergent Escape-based Flocking Behavior using Multi-Agent Reinforcement Learning . . . . . . . . . . . . . . . . . 598</t>
  </si>
  <si>
    <t>Carsten Hahn, Thomy Phan, Thomas Gabor, Lenz Belzner and Claudia Linnhoff-Popien</t>
  </si>
  <si>
    <t>Engineering Application of Non-Reciprocal-Interaction-Based (NRIB) Model: Swarm Robotic System</t>
  </si>
  <si>
    <t>That Can Perform Spatially Distributed Tasks in Parallel . . . . . . . . . . . . . . . . . . . . . . . . . . . . . . . . . . . . . . . . . . . . . 606</t>
  </si>
  <si>
    <t>Takeshi Kano, Eiichi Naito, Takenobu Aoshima and Akio Ishiguro</t>
  </si>
  <si>
    <t>Extended Artificial Pheromone System for Swarm Robotic Applications . . . . . . . . . . . . . . . . . . . . . . . . . . . . . . . 608</t>
  </si>
  <si>
    <t>Seongin Na, Mohsen Raoufi, Ali Emre Turgut, Tomas Krajnik and Farshad Arvin</t>
  </si>
  <si>
    <t>Applying Social Network Analysis to Agent-Based Models: A Case Study of Task Allocation in</t>
  </si>
  <si>
    <t>Swarm Robotics Inspired by Ant Foraging Behavior . . . . . . . . . . . . . . . . . . . . . . . . . . . . . . . . . . . . . . . . . . . . . . . . . . . 616</t>
  </si>
  <si>
    <t>Georgina Montserrat Res´endiz-Benhumea, Tom Froese, Gabriel Ramos-Fern´andez and Sandra E.</t>
  </si>
  <si>
    <t>Smith-Aguilar</t>
  </si>
  <si>
    <t>On information-optimal scripting of actions . . . . . . . . . . . . . . . . . . . . . . . . . . . . . . . . . . . . . . . . . . . . . . . . . . . . . . . . . . . 624</t>
  </si>
  <si>
    <t>Bente Riegler and Daniel Polani</t>
  </si>
  <si>
    <t>Modeling Fast and Robust Ant Nest Relocation using Particle Swarm Optimization . . . . . . . . . . . . . . . . . . . 626</t>
  </si>
  <si>
    <t>Hideyasu Sasaki</t>
  </si>
  <si>
    <t>Collective Event Detection Using Bio-inspired Minimalistic Communication in a Swarm of</t>
  </si>
  <si>
    <t>Underwater Robots . . . . . . . . . . . . . . . . . . . . . . . . . . . . . . . . . . . . . . . . . . . . . . . . . . . . . . . . . . . . . . . . . . . . . . . . . . . . . . . . . . . 634</t>
  </si>
  <si>
    <t>Joshua Cherian Varughese, Hannes Hornischer, Ronald Thenius, Franz Wotawa and Thomas</t>
  </si>
  <si>
    <t>Schmickl</t>
  </si>
  <si>
    <t>Collective Change Detection: Adaptivity to Dynamic Swarm Densities and Light Conditions in</t>
  </si>
  <si>
    <t>Robot Swarms . . . . . . . . . . . . . . . . . . . . . . . . . . . . . . . . . . . . . . . . . . . . . . . . . . . . . . . . . . . . . . . . . . . . . . . . . . . . . . . . . . . . . . . . 642</t>
  </si>
  <si>
    <t>Mostafa Wahby, Julian Petzold, Catriona Eschke, Thomas Schmickl and Heiko Hamann</t>
  </si>
  <si>
    <t>Droplet based synthetic biology: chemotaxis and interface with biology . . . . . . . . . . . . . . . . . . . . . . . . . . . . . . . 650</t>
  </si>
  <si>
    <t>Silvia Holler and Martin Michael Hanczyc</t>
  </si>
  <si>
    <t>Autocatalysis in a Hierarchically Organized Inorganic Chemical Network . . . . . . . . . . . . . . . . . . . . . . . . . . . . . . 652</t>
  </si>
  <si>
    <t>Cole Mathis, Haralampos Miras and Leroy Cronin</t>
  </si>
  <si>
    <t>Synthetic Biology in the Brain: A Vision of Organic Robots . . . . . . . . . . . . . . . . . . . . . . . . . . . . . . . . . . . . . . . . . . . 654</t>
  </si>
  <si>
    <t>Ithai Rabinowitch</t>
  </si>
  <si>
    <t>Periodic collective behaviors of organic solvent droplets on the surface of aqueous surfactant solutions . 656</t>
  </si>
  <si>
    <t>A Candidate Self-Propagating System Enriched by Chemical Ecosystem Selection . . . . . . . . . . . . . . . . . . . . . 658</t>
  </si>
  <si>
    <t>Lena Vincent, H. James Cleaves and David Baum</t>
  </si>
  <si>
    <t>Towards Low-Carbon Conferencing: Acceptance of Virtual Conferencing Solutions and Other Sustainability Measures in the ALIFE Community . . . . . . . . . . . . . . . . . . . . . . . . . . . . . . . . . . . . . . . . . . . . . . . . . . . . 21</t>
  </si>
  <si>
    <t>Insect-Inspired Visual Navigation On-Board an Autonomous Robot: Real-World Routes Encoded in a Single Layer Network. . . . . . . . . . . . . . . . . . . . . . . . . . . . . . . . . . . . . . . . . . . . . . . . . . . . . . . . . . . . . . . . . . . . . . . . . . . . . . . . 60</t>
  </si>
  <si>
    <t>James Knight, Daniil Sakhapov, Norbert Domcsek, Alex Dewar, Paul Graham, Thomas Nowotny and Andrew Philippides</t>
  </si>
  <si>
    <t>From embodied interaction to compositional referential communication: A minimal agent-based model without dedicated communication channels . . . . . . . . . . . . . . . . . . . . . . . . . . . . . . . . . . . . . . . . . . . . . . . . . . . . . 79</t>
  </si>
  <si>
    <t>Matthew Hale, Edgar Buchanan, Alan Winfield, Jon Timmis, Emma Hart, Agoston Eiben, Mike Angus, Frank Veenstra, Wei Li, Robert Woolley, Matteo De Carlo and Andy Tyrrell</t>
  </si>
  <si>
    <t>Peter Sunehag, Guy Lever, Siqi Liu, Josh Merel, Nicolas Heess, Joel Leibo, Edward Hughes, Tom Eccles and Thore Graepel</t>
  </si>
  <si>
    <t>Pathways to Good Healthcare Services and Patient Satisfaction: An Evolutionary Game Theoretical Approach . . . . . . . . . . . . . . . . . . . . . . . . . . . . . . . . . . . . . . . . . . . . . . . . . . . . . . . . . . . . . . . . . . . . . . . . . . . . . . . . . . . . . . . . . . . . . 135</t>
  </si>
  <si>
    <t>Only Two Types of Strategies Enforce Linear Payoff Relationships Under Observation Errors in Repeated Prisoner’s Dilemma Games. . . . . . . . . . . . . . . . . . . . . . . . . . . . . . . . . . . . . . . . . . . . . . . . . . . . . . . . . . . . . . . . . . 161</t>
  </si>
  <si>
    <t>Investigating the Origins of Cancer in the Intestinal Crypt with a Gene Network Agent Based Hybrid Model. . . . . . . . . . . . . . . . . . . . . . . . . . . . . . . . . . . . . . . . . . . . . . . . . . . . . . . . . . . . . . . . . . . . . . . . . . . . . . . . . . . . . . . . . . . . . . . . . 195</t>
  </si>
  <si>
    <t>Analyzing Evolution of Avian Influenza using detailed Genotypic and Antigenic Models and Phylodynamic Simulation . . . . . . . . . . . . . . . . . . . . . . . . . . . . . . . . . . . . . . . . . . . . . . . . . . . . . . . . . . . . . . . . . . . . . . . . . . . . . 220</t>
  </si>
  <si>
    <t>Horizontal Gene Transfer Leads to Increased Task Acquisition and Genomic Modularity in Digital Organisms . . . . . . . . . . . . . . . . . . . . . . . . . . . . . . . . . . . . . . . . . . . . . . . . . . . . . . . . . . . . . . . . . . . . . . . . . . . . . . . . . . . . . . . . . . . . 243</t>
  </si>
  <si>
    <t>DNN Architecture for High Performance Prediction on Natural Videos Loses Submodule’s Ability to Learn Discrete-World Dataset . . . . . . . . . . . . . . . . . . . . . . . . . . . . . . . . . . . . . . . . . . . . . . . . . . . . . . . . . . . . . . . . . . . . . . . . . 454</t>
  </si>
  <si>
    <t>Robotic models of obstacle avoidance in bats: assessing the benefit of acoustic gaze scanning in complex environments . . . . . . . . . . . . . . . . . . . . . . . . . . . . . . . . . . . . . . . . . . . . . . . . . . . . . . . . . . . . . . . . . . . . . . . . . . . . . . . . . 463</t>
  </si>
  <si>
    <t>Carl Bou Mansour, Elijah Koreman, Dennis Laurijssen, Jan Steckel, Herbert Peremans and Dieter Vanderelst</t>
  </si>
  <si>
    <t>Vadim Bulitko, Kacy Doucet, Daniel Evans, Hope Docking, Mac Walters, Marilene Oliver, Julian Chow, Shelby Carleton and Natali Kendal-Freedman</t>
  </si>
  <si>
    <t>Effects of Visual Sensory Range on the Emergence of Cognition in Early Terrestrial Vertebrates: An Agent-Based Modeling Approach . . . . . . . . . . . . . . . . . . . . . . . . . . . . . . . . . . . . . . . . . . . . . . . . . . . . . . . . . . . . . . . . . . . . . . 475</t>
  </si>
  <si>
    <t>When is an action caused from within? Quantifying the causal chain leading to actions in simulated agents . . . . . . . . . . . . . . . . . . . . . . . . . . . . . . . . . . . . . . . . . . . . . . . . . . . . . . . . . . . . . . . . . . . . . . . . . . . . . . . . . . . . . . . . . . . . . . . . 477</t>
  </si>
  <si>
    <t>Quentin Carde, Marco Foley, Carole Knibbe, David P. Parsons, Jonathan Rouzaud-Cornabas and Guillaume Beslon</t>
  </si>
  <si>
    <t>Gathering of the Hive: Investigating the clustering behaviour of honeybees through art and swarm robotics . . . . . . . . . . . . . . . . . . . . . . . . . . . . . . . . . . . . . . . . . . . . . . . . . . . . . . . . . . . . . . . . . . . . . . . . . . . . . . . . . . . . . . . . . . . . . . . 505</t>
  </si>
  <si>
    <t>Alexander Lalejini, Emily Dolson, Clifford Bohm, Austin J. Ferguson, David P. Parsons, Penelope Faulkner Rainford, Paul Richmond and Charles Ofria</t>
  </si>
  <si>
    <t>The Effects of Individual and Social Learning on the Evolution of Cognitive and Communicative Aspects of Language Abilities . . . . . . . . . . . . . . . . . . . . . . . . . . . . . . . . . . . . . . . . . . . . . . . . . . . . . . . . . . . . . . . . . . . . . . . . . 541</t>
  </si>
  <si>
    <t>Different Forms of Random Motor Activity Scaffold the Formation of Different Habits in a Simulated Robot. . . . . . . . . . . . . . . . . . . . . . . . . . . . . . . . . . . . . . . . . . . . . . . . . . . . . . . . . . . . . . . . . . . . . . . . . . . . . . . . . . . . . . . . . . . . . . . . . 582</t>
  </si>
  <si>
    <t>Engineering Application of Non-Reciprocal-Interaction-Based (NRIB) Model: Swarm Robotic System That Can Perform Spatially Distributed Tasks in Parallel . . . . . . . . . . . . . . . . . . . . . . . . . . . . . . . . . . . . . . . . . . . . . 606</t>
  </si>
  <si>
    <t>Applying Social Network Analysis to Agent-Based Models: A Case Study of Task Allocation in Swarm Robotics Inspired by Ant Foraging Behavior . . . . . . . . . . . . . . . . . . . . . . . . . . . . . . . . . . . . . . . . . . . . . . . . . . . 616</t>
  </si>
  <si>
    <t>Georgina Montserrat Res´endiz-Benhumea, Tom Froese, Gabriel Ramos-Fern´andez and Sandra E. Smith-Aguilar</t>
  </si>
  <si>
    <t>Collective Event Detection Using Bio-inspired Minimalistic Communication in a Swarm of Underwater Robots . . . . . . . . . . . . . . . . . . . . . . . . . . . . . . . . . . . . . . . . . . . . . . . . . . . . . . . . . . . . . . . . . . . . . . . . . . . . . . . . . . . 634</t>
  </si>
  <si>
    <t>Joshua Cherian Varughese, Hannes Hornischer, Ronald Thenius, Franz Wotawa and Thomas Schmickl</t>
  </si>
  <si>
    <t>Collective Change Detection: Adaptivity to Dynamic Swarm Densities and Light Conditions in Robot Swarms . . . . . . . . . . . . . . . . . . . . . . . . . . . . . . . . . . . . . . . . . . . . . . . . . . . . . . . . . . . . . . . . . . . . . . . . . . . . . . . . . . . . . . . . 642</t>
  </si>
  <si>
    <t>Engineering Plants for Farming and Pharming;9</t>
  </si>
  <si>
    <t>On the interplay of self-replication and self-reproduction in protocells;10</t>
  </si>
  <si>
    <t>Artificial Democratic Life. Re-engineering the autonomy of the social, a research program;11</t>
  </si>
  <si>
    <t>Can Bio-Inspired Swarm Algorithms Scale to Modern Societal Problems?;13</t>
  </si>
  <si>
    <t>Towards Low-Carbon Conferencing: Acceptance of Virtual Conferencing Solutions and Other Sustainability Measures in the ALIFE Community;21</t>
  </si>
  <si>
    <t>Suppleness and Open-Endedness for Social Sustainability;28</t>
  </si>
  <si>
    <t>Cities, a conceptual framing for a synthetic perspective;30</t>
  </si>
  <si>
    <t>Quantifying affordances through information theory;32</t>
  </si>
  <si>
    <t>The dark room problem in predictive processing and active inference, a legacy of cognitivism?;40</t>
  </si>
  <si>
    <t>NukaBot: Research and Design of a Human-Microbe Interaction model;48</t>
  </si>
  <si>
    <t>Hybrid Synthetic Approach to Animal Interaction;50</t>
  </si>
  <si>
    <t>An artificial life approach to studying niche differentiation in soundscape ecology;52</t>
  </si>
  <si>
    <t>Insect-Inspired Visual Navigation On-Board an Autonomous Robot: Real-World Routes Encoded in a Single Layer Network;60</t>
  </si>
  <si>
    <t>Hybrid Variational Predictive Coding as a Bridge between Human and Artificial Cognition;68</t>
  </si>
  <si>
    <t>Sensorimotor contingency modulates visual awareness of virtual 3D objects;70</t>
  </si>
  <si>
    <t>Heuristics as Decision-making Habits of Autonomous Sensorimotor Agents;72</t>
  </si>
  <si>
    <t>From embodied interaction to compositional referential communication: A minimal agent-based model without dedicated communication channels;79</t>
  </si>
  <si>
    <t>Void Reduction in Self-Healing Swarms;87</t>
  </si>
  <si>
    <t>The ARE Robot Fabricator: How to (Re)produce Robots that Can Evolve in the Real World;95</t>
  </si>
  <si>
    <t>Reinforcement Learning Agents acquire Flocking and Symbiotic Behaviour in Simulated Ecosystems;103</t>
  </si>
  <si>
    <t>Building a survivable protocell for a corrosive digital environment;111</t>
  </si>
  <si>
    <t>Implementing MetaChem framework in Object Orientation;119</t>
  </si>
  <si>
    <t>A Meta-Atom Based Sub-Symbolic Artificial Chemistry;127</t>
  </si>
  <si>
    <t>Pathways to Good Healthcare Services and Patient Satisfaction: An Evolutionary Game Theoretical Approach;135</t>
  </si>
  <si>
    <t>On the Expected Number and Distribution of Equilibria in Multi-player Evolutionary Games;143</t>
  </si>
  <si>
    <t>Entropy-Based Team Self-Organization with Signal Suppression;145</t>
  </si>
  <si>
    <t>All in Good Team: Optimising Team Personalities for Different Dynamic Problems and Task Types;153</t>
  </si>
  <si>
    <t>Only Two Types of Strategies Enforce Linear Payoff Relationships Under Observation Errors in Repeated Prisoner’s Dilemma Games;161</t>
  </si>
  <si>
    <t>Emergence of Coordination with Asymmetric Benefits via Prior Commitment;163</t>
  </si>
  <si>
    <t>Being a leader or being the leader: The evolution of institutionalised hierarchy;171</t>
  </si>
  <si>
    <t>Generating urban morphologies at large scales;179</t>
  </si>
  <si>
    <t>Fairness in Multiplayer Ultimatum Games Through Moderate Responder Selection;187</t>
  </si>
  <si>
    <t>Investigating the Origins of Cancer in the Intestinal Crypt with a Gene Network Agent Based Hybrid Model;195</t>
  </si>
  <si>
    <t>A Hexagonal Cell Automaton Model to Imitate Physarum Polycephalum Competitive Behaviour;203</t>
  </si>
  <si>
    <t>A simplified model of chromatin dynamics drives differentiation process in Boolean models of GRN;211</t>
  </si>
  <si>
    <t>A reaction-diffusion model for simulating the oscillatory expansion of biofilms;218</t>
  </si>
  <si>
    <t>Analyzing Evolution of Avian Influenza using detailed Genotypic and Antigenic Models and Phylodynamic Simulation;220</t>
  </si>
  <si>
    <t>Anomalies in the Behaviour of a Modularity Inducing Problem Domain;228</t>
  </si>
  <si>
    <t>Optimizing Radiation Therapy Treatments by Exploring Tumour Ecosystem Dynamics in – silico;236</t>
  </si>
  <si>
    <t>Horizontal Gene Transfer Leads to Increased Task Acquisition and Genomic Modularity in Digital Organisms;243</t>
  </si>
  <si>
    <t>Attractor Landscapes and Information Processing by Convective Obstacle Flows;245</t>
  </si>
  <si>
    <t>On Sexual Selection in the Presence of Multiple Costly Displays;247</t>
  </si>
  <si>
    <t>Steering the Growth of Adaptive Self-Preserving Dissipative Structures;255</t>
  </si>
  <si>
    <t>Complex Systems and Artificial Life: A Decade’s Overview;263</t>
  </si>
  <si>
    <t>Inferring a Graph’s Topology from Games Played on It;271</t>
  </si>
  <si>
    <t>Inferring Swarm Models Using a Single Monitoring Robot;278</t>
  </si>
  <si>
    <t>Convolutional Neural Networks for Cellular Automata Classification;280</t>
  </si>
  <si>
    <t>Biochemical networks display universal structure across projections and levels of organization;282</t>
  </si>
  <si>
    <t>Towards Complex Artificial Life;292</t>
  </si>
  <si>
    <t>Environmental Harshness and Fitness Improving Innovations;300</t>
  </si>
  <si>
    <t>Reproductive division of labor in a colony of artificial ants;308</t>
  </si>
  <si>
    <t>Exogenous Rewards for Promoting Cooperation in Scale-Free Networks;316</t>
  </si>
  <si>
    <t>Simplified Modeling of the Evolution of Skills in a Spatially Resolved Environment;324</t>
  </si>
  <si>
    <t>Promoting Cooperation through External Interference;331</t>
  </si>
  <si>
    <t>Factors that Affect the Evolution of Complex Cooperative Behavior;333</t>
  </si>
  <si>
    <t>Towards modelling social habits: an organismically inspired evolutionary robotics approach;341</t>
  </si>
  <si>
    <t>Speciation under changing environments;349</t>
  </si>
  <si>
    <t>To evolve or not to evolve? That is the question;357</t>
  </si>
  <si>
    <t>Evolutionary rates of information gain and decay in fluctuating environments;365</t>
  </si>
  <si>
    <t>Modulating Interaction Times in an Artificial Society of Robots;372</t>
  </si>
  <si>
    <t>Acclivation of Virtual Fitness Landscapes;380</t>
  </si>
  <si>
    <t>Continuous Long-Term Evolution of Genetic Programming;388</t>
  </si>
  <si>
    <t>The impact of environmental history on evolved robot properties;396</t>
  </si>
  <si>
    <t>The Cost of Big Brains in Groups;404</t>
  </si>
  <si>
    <t>Graph Product Representation of Organism-Environment Couplings in Evolution;412</t>
  </si>
  <si>
    <t>Maximization of Transfer Entropy leads to Evolution of Functional Differentiation of Swarms;414</t>
  </si>
  <si>
    <t>Evolving Recurrent Neural Network Controllers by Incremental Fitness Shaping;416</t>
  </si>
  <si>
    <t>Self-Replication in Neural Networks;424</t>
  </si>
  <si>
    <t>The role of ambient noise in the evolution of robust mental representations in cognitive systems;432</t>
  </si>
  <si>
    <t>Probabilistic Program Neurogenesis;440</t>
  </si>
  <si>
    <t>Self-optimization in a Hopfield neural network based on the C. elegans connectome;448</t>
  </si>
  <si>
    <t>DNN Architecture for High Performance Prediction on Natural Videos Loses Submodule’s Ability to Learn Discrete-World Dataset;454</t>
  </si>
  <si>
    <t>Evolution of metamemory ability by artificial neural networks with neuromodulation;461</t>
  </si>
  <si>
    <t>Robotic models of obstacle avoidance in bats: assessing the benefit of acoustic gaze scanning in complex environments;463</t>
  </si>
  <si>
    <t>A-life Evolution with Human Proxies;465</t>
  </si>
  <si>
    <t>Stability of Cooperation in Societies of Emotional and Moody Agents;467</t>
  </si>
  <si>
    <t>Effects of Visual Sensory Range on the Emergence of Cognition in Early Terrestrial Vertebrates: An Agent-Based Modeling Approach;475</t>
  </si>
  <si>
    <t>When is an action caused from within? Quantifying the causal chain leading to actions in simulated agents;477</t>
  </si>
  <si>
    <t>Measuring properties of movement in populations of evolved 3D agents;485</t>
  </si>
  <si>
    <t>Edge of Chaos: Artificial Life based interactive art installation;493</t>
  </si>
  <si>
    <t>Autopoiesis in digital learning design: Theoretical implications in education;495</t>
  </si>
  <si>
    <t>How to reduce a genome? ALife as a tool to teach the scientific method to school pupils;497</t>
  </si>
  <si>
    <t>Gathering of the Hive: Investigating the clustering behaviour of honeybees through art and swarm robotics;505</t>
  </si>
  <si>
    <t>Data Standards for Artificial Life Software;507</t>
  </si>
  <si>
    <t>Organic Selection and Social Heredity: The Original Baldwin Effect Revisited;515</t>
  </si>
  <si>
    <t>Morphogenetic Vase Forms;523</t>
  </si>
  <si>
    <t>Spatial Representation of Self and Other by Superposition Neural Network Model;531</t>
  </si>
  <si>
    <t>Artificial Ant Colonies for Adaptive Rewards in Serious Games;533</t>
  </si>
  <si>
    <t>The Effects of Individual and Social Learning on the Evolution of Cognitive and Communicative Aspects of Language Abilities;541</t>
  </si>
  <si>
    <t>Neuroevolution of Humanoids that Walk Further and Faster with Robust Gaits;543</t>
  </si>
  <si>
    <t>The Limits of Lexicase Selection in an Evolutionary Robotics Task;551</t>
  </si>
  <si>
    <t>Improve Quadrupedal Locomotion with Actuated or Passive Joints?;559</t>
  </si>
  <si>
    <t>Ego-Noise Predictions for Echolocation in Wheeled Robots;567</t>
  </si>
  <si>
    <t>Evolutionary Synthesis of Sensing Controllers for Voxel-based Soft Robots;574</t>
  </si>
  <si>
    <t>Different Forms of Random Motor Activity Scaffold the Formation of Different Habits in a Simulated Robot;582</t>
  </si>
  <si>
    <t>Guiding aggregation dynamics in a swarm of agents via informed individuals: an analytical study;590</t>
  </si>
  <si>
    <t>Emergent Escape-based Flocking Behavior using Multi-Agent Reinforcement Learning;598</t>
  </si>
  <si>
    <t>Engineering Application of Non-Reciprocal-Interaction-Based (NRIB) Model: Swarm Robotic System That Can Perform Spatially Distributed Tasks in Parallel;606</t>
  </si>
  <si>
    <t>Extended Artificial Pheromone System for Swarm Robotic Applications;608</t>
  </si>
  <si>
    <t>Applying Social Network Analysis to Agent-Based Models: A Case Study of Task Allocation in Swarm Robotics Inspired by Ant Foraging Behavior;616</t>
  </si>
  <si>
    <t>On information-optimal scripting of actions;624</t>
  </si>
  <si>
    <t>Modeling Fast and Robust Ant Nest Relocation using Particle Swarm Optimization;626</t>
  </si>
  <si>
    <t>Collective Event Detection Using Bio-inspired Minimalistic Communication in a Swarm of Underwater Robots;634</t>
  </si>
  <si>
    <t>Collective Change Detection: Adaptivity to Dynamic Swarm Densities and Light Conditions in Robot Swarms;642</t>
  </si>
  <si>
    <t>Droplet based synthetic biology: chemotaxis and interface with biology;650</t>
  </si>
  <si>
    <t>Autocatalysis in a Hierarchically Organized Inorganic Chemical Network;652</t>
  </si>
  <si>
    <t>Synthetic Biology in the Brain: A Vision of Organic Robots;654</t>
  </si>
  <si>
    <t>Periodic collective behaviors of organic solvent droplets on the surface of aqueous surfactant solutions;656</t>
  </si>
  <si>
    <t>A Candidate Self-Propagating System Enriched by Chemical Ecosystem Selection;658</t>
  </si>
  <si>
    <t>Darren Chitty</t>
  </si>
  <si>
    <t>Dominique Chen</t>
  </si>
  <si>
    <t>James Knight</t>
  </si>
  <si>
    <t>Neil Eliot</t>
  </si>
  <si>
    <t>Peter Sunehag</t>
  </si>
  <si>
    <t>Isaac Watson</t>
  </si>
  <si>
    <t>Zainab Alalawi</t>
  </si>
  <si>
    <t>David King</t>
  </si>
  <si>
    <t>Abubakr Awad</t>
  </si>
  <si>
    <t>Michele Braccini</t>
  </si>
  <si>
    <t>Zhenyue Qin</t>
  </si>
  <si>
    <t>Suppanat Ruangdech</t>
  </si>
  <si>
    <t>Harrison Smith</t>
  </si>
  <si>
    <t>Nicolas Toussaint</t>
  </si>
  <si>
    <t>Rudolf M. F¨uchslin</t>
  </si>
  <si>
    <t>Padmini Rajagopalan</t>
  </si>
  <si>
    <t>Manuel G Bedia</t>
  </si>
  <si>
    <t>Kevin Dubois</t>
  </si>
  <si>
    <t>Ben Kovitz</t>
  </si>
  <si>
    <t>Hiromitsu Suganuma</t>
  </si>
  <si>
    <t>Carl Bou Mansour</t>
  </si>
  <si>
    <t>Vadim Bulitko</t>
  </si>
  <si>
    <t>Joe Collenette</t>
  </si>
  <si>
    <t>Can Gurkan</t>
  </si>
  <si>
    <t>Bjørn Erik Juel</t>
  </si>
  <si>
    <t>Quentin Carde</t>
  </si>
  <si>
    <t>Haakon Haraldsen Roen</t>
  </si>
  <si>
    <t>Yann Semet</t>
  </si>
  <si>
    <t>Hiroto Yonenoh</t>
  </si>
  <si>
    <t>Antonio Pico Villalpando</t>
  </si>
  <si>
    <t>Yannick Gillet</t>
  </si>
  <si>
    <t>Seongin Na</t>
  </si>
  <si>
    <t>Georgina Montserrat Res´endiz-Benhumea</t>
  </si>
  <si>
    <t>Cole Mathis</t>
  </si>
  <si>
    <t>Lena Vincent</t>
  </si>
  <si>
    <t>Elizabeth Wanner</t>
  </si>
  <si>
    <t>Rakhi Parmar</t>
  </si>
  <si>
    <t>Alex Penn</t>
  </si>
  <si>
    <t>Rudolf F¨uchslin</t>
  </si>
  <si>
    <t>Jaume Bacardit</t>
  </si>
  <si>
    <t>Angel Goni Moreno</t>
  </si>
  <si>
    <t>I˜nigo Arandia-Romero</t>
  </si>
  <si>
    <t>Manuel Heras-Escribano</t>
  </si>
  <si>
    <t>Hiraku Ogura</t>
  </si>
  <si>
    <t>Young Ah Seong</t>
  </si>
  <si>
    <t>Yosuke Nakamoto</t>
  </si>
  <si>
    <t>Laura Beloff</t>
  </si>
  <si>
    <t>Daniil Sakhapov</t>
  </si>
  <si>
    <t>Andr´e Ofner</t>
  </si>
  <si>
    <t>Sebastian Stober</t>
  </si>
  <si>
    <t>David Schwartzman</t>
  </si>
  <si>
    <t>Rafael Augusto</t>
  </si>
  <si>
    <t>Anil Seth</t>
  </si>
  <si>
    <t>Erasmo Batta</t>
  </si>
  <si>
    <t>Christopher Stephens</t>
  </si>
  <si>
    <t>Jorge I. Campos</t>
  </si>
  <si>
    <t>David Kendall</t>
  </si>
  <si>
    <t>Alun Moon</t>
  </si>
  <si>
    <t>Michael Brockway</t>
  </si>
  <si>
    <t>Matteo De Carlo</t>
  </si>
  <si>
    <t>Guy Lever</t>
  </si>
  <si>
    <t>Siqi Liu</t>
  </si>
  <si>
    <t>Josh Merel</t>
  </si>
  <si>
    <t>Nicolas Heess</t>
  </si>
  <si>
    <t>Joel Leibo</t>
  </si>
  <si>
    <t>Edward Hughes</t>
  </si>
  <si>
    <t>Tom Eccles</t>
  </si>
  <si>
    <t>Thore Graepel</t>
  </si>
  <si>
    <t>Angelika Sebald</t>
  </si>
  <si>
    <t>Yifeng Zeng</t>
  </si>
  <si>
    <t>Aiman Elragig</t>
  </si>
  <si>
    <t>Hong Duong</t>
  </si>
  <si>
    <t>Lukas Esterle</t>
  </si>
  <si>
    <t>Gilbert Peterson</t>
  </si>
  <si>
    <t>Soo Ling Lim</t>
  </si>
  <si>
    <t>Bianca Ogbo Ndidi</t>
  </si>
  <si>
    <t>Simon Powers</t>
  </si>
  <si>
    <t>Julien Perret</t>
  </si>
  <si>
    <t>Fernando Santos</t>
  </si>
  <si>
    <t>Daan Bloembergen</t>
  </si>
  <si>
    <t>Hanxiao Zhang</t>
  </si>
  <si>
    <t>Albert R¨ubben</t>
  </si>
  <si>
    <t>Wei Pang</t>
  </si>
  <si>
    <t>David Lusseau</t>
  </si>
  <si>
    <t>George Coghill</t>
  </si>
  <si>
    <t>Sara Montagna</t>
  </si>
  <si>
    <t>Liam Mosley</t>
  </si>
  <si>
    <t>Dhananjai Rao</t>
  </si>
  <si>
    <t>Tom Gedeon</t>
  </si>
  <si>
    <t>Bob McKay</t>
  </si>
  <si>
    <t>Rosangela Canino-Koning</t>
  </si>
  <si>
    <t>Yuk Yung</t>
  </si>
  <si>
    <t>Thomas McAtee</t>
  </si>
  <si>
    <t>Claudia Szabo</t>
  </si>
  <si>
    <t>Douglas Moore</t>
  </si>
  <si>
    <t>Martin Homer</t>
  </si>
  <si>
    <t>Hyunju Kim</t>
  </si>
  <si>
    <t>Sara Walker</t>
  </si>
  <si>
    <t>Emma Norling</t>
  </si>
  <si>
    <t>Ren´e Doursat</t>
  </si>
  <si>
    <t>Peter Bae</t>
  </si>
  <si>
    <t>Chris Marriott</t>
  </si>
  <si>
    <t>Richard Walker</t>
  </si>
  <si>
    <t>Long Tran-Thanh</t>
  </si>
  <si>
    <t>Simon Lynch</t>
  </si>
  <si>
    <t>Kay Holekamp</t>
  </si>
  <si>
    <t>Diego Cajal</t>
  </si>
  <si>
    <t>Alex Ellery</t>
  </si>
  <si>
    <t>Gusz Eiben</t>
  </si>
  <si>
    <t>David Bender</t>
  </si>
  <si>
    <t>Marcela Poffald</t>
  </si>
  <si>
    <t>W B Langdon</t>
  </si>
  <si>
    <t>W Banzhaf</t>
  </si>
  <si>
    <t>Alex Furman</t>
  </si>
  <si>
    <t>Danielle Nagar</t>
  </si>
  <si>
    <t>Yuji Kawai</t>
  </si>
  <si>
    <t>Jihoon Park</t>
  </si>
  <si>
    <t>Minoru Asada</t>
  </si>
  <si>
    <t>Kaan Akinci</t>
  </si>
  <si>
    <t>Andy Philippides</t>
  </si>
  <si>
    <t>Andy Mattausch</t>
  </si>
  <si>
    <t>Charles Martin</t>
  </si>
  <si>
    <t>Praveen Pilly</t>
  </si>
  <si>
    <t>Alejandro Ehecatl Morales Huitr´on</t>
  </si>
  <si>
    <t>Atsushi Noda</t>
  </si>
  <si>
    <t>Elijah Koreman</t>
  </si>
  <si>
    <t>Dennis Laurijssen</t>
  </si>
  <si>
    <t>Jan Steckel</t>
  </si>
  <si>
    <t>Kacy Doucet</t>
  </si>
  <si>
    <t>Daniel Evans</t>
  </si>
  <si>
    <t>Hope Docking</t>
  </si>
  <si>
    <t>Mac Walters</t>
  </si>
  <si>
    <t>Marilene Oliver</t>
  </si>
  <si>
    <t>Julian Chow</t>
  </si>
  <si>
    <t>Shelby Carleton</t>
  </si>
  <si>
    <t>Natali Kendal-Freedman</t>
  </si>
  <si>
    <t>Katie Atkinson</t>
  </si>
  <si>
    <t>Karl Tuyls</t>
  </si>
  <si>
    <t>Leif Rasmussen</t>
  </si>
  <si>
    <t>Uri Wilensky</t>
  </si>
  <si>
    <t>Renzo Comolatti</t>
  </si>
  <si>
    <t>Giulio Tononi</t>
  </si>
  <si>
    <t>Larissa Albantakis</t>
  </si>
  <si>
    <t>Vasilija Abramovic</t>
  </si>
  <si>
    <t>Ruairi Glynn</t>
  </si>
  <si>
    <t>Marco Foley</t>
  </si>
  <si>
    <t>Carole Knibbe</t>
  </si>
  <si>
    <t>David P. Parsons</t>
  </si>
  <si>
    <t>Jonathan Rouzaud-Cornabas</t>
  </si>
  <si>
    <t>Vako Vartkes Varankian</t>
  </si>
  <si>
    <t>Kristin Bergaust</t>
  </si>
  <si>
    <t>Paul Richmond</t>
  </si>
  <si>
    <t>Bruno Marcon</t>
  </si>
  <si>
    <t>Konstantinos Demestichas</t>
  </si>
  <si>
    <t>Nikos Koutsouris</t>
  </si>
  <si>
    <t>Antonio Ascolese</t>
  </si>
  <si>
    <t>Ben Jackson</t>
  </si>
  <si>
    <t>Alastair Channon</t>
  </si>
  <si>
    <t>Guido Schillaci</t>
  </si>
  <si>
    <t>Bruno Lara</t>
  </si>
  <si>
    <t>Mario Zarco</t>
  </si>
  <si>
    <t>Ziya Firat</t>
  </si>
  <si>
    <t>Eiichi Naito</t>
  </si>
  <si>
    <t>Takenobu Aoshima</t>
  </si>
  <si>
    <t>Ali Emre Turgut</t>
  </si>
  <si>
    <t>Tomas Krajnik</t>
  </si>
  <si>
    <t>Gabriel Ramos-Fern´andez</t>
  </si>
  <si>
    <t>Sandra E. Smith-Aguilar</t>
  </si>
  <si>
    <t>Hannes Hornischer</t>
  </si>
  <si>
    <t>Franz Wotawa</t>
  </si>
  <si>
    <t>Catriona Eschke</t>
  </si>
  <si>
    <t>Haralampos Miras</t>
  </si>
  <si>
    <t>H. James Cleaves</t>
  </si>
  <si>
    <t>David Baum</t>
  </si>
  <si>
    <t>Engineering Plants for Farming and Pharming</t>
  </si>
  <si>
    <t>On the interplay of self-replication and self-reproduction in protocells</t>
  </si>
  <si>
    <t>Artificial Democratic Life. Re-engineering the autonomy of the social, a research program</t>
  </si>
  <si>
    <t>Can Bio-Inspired Swarm Algorithms Scale to Modern Societal Problems?</t>
  </si>
  <si>
    <t>Towards Low-Carbon Conferencing: Acceptance of Virtual Conferencing Solutions and Other Sustainability Measures in the ALIFE Community</t>
  </si>
  <si>
    <t>Suppleness and Open-Endedness for Social Sustainability</t>
  </si>
  <si>
    <t>Cities, a conceptual framing for a synthetic perspective</t>
  </si>
  <si>
    <t>Quantifying affordances through information theory</t>
  </si>
  <si>
    <t>The dark room problem in predictive processing and active inference, a legacy of cognitivism?</t>
  </si>
  <si>
    <t>NukaBot: Research and Design of a Human-Microbe Interaction model</t>
  </si>
  <si>
    <t>Hybrid Synthetic Approach to Animal Interaction</t>
  </si>
  <si>
    <t>An artificial life approach to studying niche differentiation in soundscape ecology</t>
  </si>
  <si>
    <t>Insect-Inspired Visual Navigation On-Board an Autonomous Robot: Real-World Routes Encoded in a Single Layer Network</t>
  </si>
  <si>
    <t>Hybrid Variational Predictive Coding as a Bridge between Human and Artificial Cognition</t>
  </si>
  <si>
    <t>Sensorimotor contingency modulates visual awareness of virtual 3D objects</t>
  </si>
  <si>
    <t>Heuristics as Decision-making Habits of Autonomous Sensorimotor Agents</t>
  </si>
  <si>
    <t>From embodied interaction to compositional referential communication: A minimal agent-based model without dedicated communication channels</t>
  </si>
  <si>
    <t>Void Reduction in Self-Healing Swarms</t>
  </si>
  <si>
    <t>The ARE Robot Fabricator: How to (Re)produce Robots that Can Evolve in the Real World</t>
  </si>
  <si>
    <t>Reinforcement Learning Agents acquire Flocking and Symbiotic Behaviour in Simulated Ecosystems</t>
  </si>
  <si>
    <t>Building a survivable protocell for a corrosive digital environment</t>
  </si>
  <si>
    <t>Implementing MetaChem framework in Object Orientation</t>
  </si>
  <si>
    <t>A Meta-Atom Based Sub-Symbolic Artificial Chemistry</t>
  </si>
  <si>
    <t>Pathways to Good Healthcare Services and Patient Satisfaction: An Evolutionary Game Theoretical Approach</t>
  </si>
  <si>
    <t>On the Expected Number and Distribution of Equilibria in Multi-player Evolutionary Games</t>
  </si>
  <si>
    <t>Entropy-Based Team Self-Organization with Signal Suppression</t>
  </si>
  <si>
    <t>All in Good Team: Optimising Team Personalities for Different Dynamic Problems and Task Types</t>
  </si>
  <si>
    <t>Only Two Types of Strategies Enforce Linear Payoff Relationships Under Observation Errors in Repeated Prisoner’s Dilemma Games</t>
  </si>
  <si>
    <t>Emergence of Coordination with Asymmetric Benefits via Prior Commitment</t>
  </si>
  <si>
    <t>Being a leader or being the leader: The evolution of institutionalised hierarchy</t>
  </si>
  <si>
    <t>Generating urban morphologies at large scales</t>
  </si>
  <si>
    <t>Fairness in Multiplayer Ultimatum Games Through Moderate Responder Selection</t>
  </si>
  <si>
    <t>Investigating the Origins of Cancer in the Intestinal Crypt with a Gene Network Agent Based Hybrid Model</t>
  </si>
  <si>
    <t>A Hexagonal Cell Automaton Model to Imitate Physarum Polycephalum Competitive Behaviour</t>
  </si>
  <si>
    <t>A simplified model of chromatin dynamics drives differentiation process in Boolean models of GRN</t>
  </si>
  <si>
    <t>A reaction-diffusion model for simulating the oscillatory expansion of biofilms</t>
  </si>
  <si>
    <t>Analyzing Evolution of Avian Influenza using detailed Genotypic and Antigenic Models and Phylodynamic Simulation</t>
  </si>
  <si>
    <t>Anomalies in the Behaviour of a Modularity Inducing Problem Domain</t>
  </si>
  <si>
    <t>Optimizing Radiation Therapy Treatments by Exploring Tumour Ecosystem Dynamics in – silico</t>
  </si>
  <si>
    <t>Horizontal Gene Transfer Leads to Increased Task Acquisition and Genomic Modularity in Digital Organisms</t>
  </si>
  <si>
    <t>Attractor Landscapes and Information Processing by Convective Obstacle Flows</t>
  </si>
  <si>
    <t>On Sexual Selection in the Presence of Multiple Costly Displays</t>
  </si>
  <si>
    <t>Steering the Growth of Adaptive Self-Preserving Dissipative Structures</t>
  </si>
  <si>
    <t>Complex Systems and Artificial Life: A Decade’s Overview</t>
  </si>
  <si>
    <t>Inferring a Graph’s Topology from Games Played on It</t>
  </si>
  <si>
    <t>Inferring Swarm Models Using a Single Monitoring Robot</t>
  </si>
  <si>
    <t>Convolutional Neural Networks for Cellular Automata Classification</t>
  </si>
  <si>
    <t>Biochemical networks display universal structure across projections and levels of organization</t>
  </si>
  <si>
    <t>Toward the Self-Organisation of Emergency Response Teams Based on Morphogenetic Network Growt</t>
  </si>
  <si>
    <t>Towards Complex Artificial Life</t>
  </si>
  <si>
    <t>Environmental Harshness and Fitness Improving Innovations</t>
  </si>
  <si>
    <t>Reproductive division of labor in a colony of artificial ants</t>
  </si>
  <si>
    <t>Exogenous Rewards for Promoting Cooperation in Scale-Free Networks</t>
  </si>
  <si>
    <t>Simplified Modeling of the Evolution of Skills in a Spatially Resolved Environment</t>
  </si>
  <si>
    <t>Promoting Cooperation through External Interference</t>
  </si>
  <si>
    <t>Factors that Affect the Evolution of Complex Cooperative Behavior</t>
  </si>
  <si>
    <t>Towards modelling social habits: an organismically inspired evolutionary robotics approach</t>
  </si>
  <si>
    <t>Speciation under changing environments</t>
  </si>
  <si>
    <t>To evolve or not to evolve? That is the question</t>
  </si>
  <si>
    <t>Evolutionary rates of information gain and decay in fluctuating environments</t>
  </si>
  <si>
    <t>Modulating Interaction Times in an Artificial Society of Robots</t>
  </si>
  <si>
    <t>Acclivation of Virtual Fitness Landscapes</t>
  </si>
  <si>
    <t>Continuous Long-Term Evolution of Genetic Programming</t>
  </si>
  <si>
    <t>The impact of environmental history on evolved robot properties</t>
  </si>
  <si>
    <t>The Cost of Big Brains in Groups</t>
  </si>
  <si>
    <t>Graph Product Representation of Organism-Environment Couplings in Evolution</t>
  </si>
  <si>
    <t>Maximization of Transfer Entropy leads to Evolution of Functional Differentiation of Swarms</t>
  </si>
  <si>
    <t>Evolving Recurrent Neural Network Controllers by Incremental Fitness Shaping</t>
  </si>
  <si>
    <t>Self-Replication in Neural Networks</t>
  </si>
  <si>
    <t>The role of ambient noise in the evolution of robust mental representations in cognitive systems</t>
  </si>
  <si>
    <t>Probabilistic Program Neurogenesis</t>
  </si>
  <si>
    <t>Self-optimization in a Hopfield neural network based on the C. elegans connectome</t>
  </si>
  <si>
    <t>DNN Architecture for High Performance Prediction on Natural Videos Loses Submodule’s Ability to Learn Discrete-World Dataset</t>
  </si>
  <si>
    <t>Evolution of metamemory ability by artificial neural networks with neuromodulation</t>
  </si>
  <si>
    <t>Robotic models of obstacle avoidance in bats: assessing the benefit of acoustic gaze scanning in complex environments</t>
  </si>
  <si>
    <t>A-life Evolution with Human Proxies</t>
  </si>
  <si>
    <t>Stability of Cooperation in Societies of Emotional and Moody Agents</t>
  </si>
  <si>
    <t>Effects of Visual Sensory Range on the Emergence of Cognition in Early Terrestrial Vertebrates: An Agent-Based Modeling Approach</t>
  </si>
  <si>
    <t>When is an action caused from within? Quantifying the causal chain leading to actions in simulated agents</t>
  </si>
  <si>
    <t>Measuring properties of movement in populations of evolved 3D agents</t>
  </si>
  <si>
    <t>Edge of Chaos: Artificial Life based interactive art installation</t>
  </si>
  <si>
    <t>Autopoiesis in digital learning design: Theoretical implications in education</t>
  </si>
  <si>
    <t>How to reduce a genome? ALife as a tool to teach the scientific method to school pupils</t>
  </si>
  <si>
    <t>Gathering of the Hive: Investigating the clustering behaviour of honeybees through art and swarm robotics</t>
  </si>
  <si>
    <t>Data Standards for Artificial Life Software</t>
  </si>
  <si>
    <t>Organic Selection and Social Heredity: The Original Baldwin Effect Revisited</t>
  </si>
  <si>
    <t>Morphogenetic Vase Forms</t>
  </si>
  <si>
    <t>Spatial Representation of Self and Other by Superposition Neural Network Model</t>
  </si>
  <si>
    <t>Artificial Ant Colonies for Adaptive Rewards in Serious Games</t>
  </si>
  <si>
    <t>The Effects of Individual and Social Learning on the Evolution of Cognitive and Communicative Aspects of Language Abilities</t>
  </si>
  <si>
    <t>Neuroevolution of Humanoids that Walk Further and Faster with Robust Gaits</t>
  </si>
  <si>
    <t>The Limits of Lexicase Selection in an Evolutionary Robotics Task</t>
  </si>
  <si>
    <t>Improve Quadrupedal Locomotion with Actuated or Passive Joints?</t>
  </si>
  <si>
    <t>Ego-Noise Predictions for Echolocation in Wheeled Robots</t>
  </si>
  <si>
    <t>Evolutionary Synthesis of Sensing Controllers for Voxel-based Soft Robots</t>
  </si>
  <si>
    <t>Different Forms of Random Motor Activity Scaffold the Formation of Different Habits in a Simulated Robot</t>
  </si>
  <si>
    <t>Guiding aggregation dynamics in a swarm of agents via informed individuals: an analytical study</t>
  </si>
  <si>
    <t>Emergent Escape-based Flocking Behavior using Multi-Agent Reinforcement Learning</t>
  </si>
  <si>
    <t>Engineering Application of Non-Reciprocal-Interaction-Based (NRIB) Model: Swarm Robotic System That Can Perform Spatially Distributed Tasks in Parallel</t>
  </si>
  <si>
    <t>Extended Artificial Pheromone System for Swarm Robotic Applications</t>
  </si>
  <si>
    <t>Applying Social Network Analysis to Agent-Based Models: A Case Study of Task Allocation in Swarm Robotics Inspired by Ant Foraging Behavior</t>
  </si>
  <si>
    <t>On information-optimal scripting of actions</t>
  </si>
  <si>
    <t>Modeling Fast and Robust Ant Nest Relocation using Particle Swarm Optimization</t>
  </si>
  <si>
    <t>Collective Event Detection Using Bio-inspired Minimalistic Communication in a Swarm of Underwater Robots</t>
  </si>
  <si>
    <t>Collective Change Detection: Adaptivity to Dynamic Swarm Densities and Light Conditions in Robot Swarms</t>
  </si>
  <si>
    <t>Droplet based synthetic biology: chemotaxis and interface with biology</t>
  </si>
  <si>
    <t>Autocatalysis in a Hierarchically Organized Inorganic Chemical Network</t>
  </si>
  <si>
    <t>Synthetic Biology in the Brain: A Vision of Organic Robots</t>
  </si>
  <si>
    <t>Periodic collective behaviors of organic solvent droplets on the surface of aqueous surfactant solutions</t>
  </si>
  <si>
    <t>A Candidate Self-Propagating System Enriched by Chemical Ecosystem Selection</t>
  </si>
  <si>
    <t>Wet Artificial Life and Synthetic Biology</t>
  </si>
  <si>
    <t>Artificial Life in a Challenged World</t>
  </si>
  <si>
    <t>Biology on sample size of more than one</t>
  </si>
  <si>
    <t>Financial Networks in the Brave New World</t>
  </si>
  <si>
    <t>Symbiotic Simulations for Decision Support</t>
  </si>
  <si>
    <t>Microbial Life for Robotics – towards artificial life</t>
  </si>
  <si>
    <t>Artificial Life and the Human Predicament</t>
  </si>
  <si>
    <t>Kate Adamala</t>
  </si>
  <si>
    <t>Armando Geller</t>
  </si>
  <si>
    <t>Ioannis Ieropoulos</t>
  </si>
  <si>
    <t>Barry McMullin</t>
  </si>
  <si>
    <t>Stefano Battiston</t>
  </si>
  <si>
    <t>Harold Fellermann, Jaume Bacardit, ´ Angel Go˜ni-Moreno and Rudolf M F¨uchslin</t>
  </si>
  <si>
    <t>Short Abstracts of Keynote Presentations</t>
  </si>
  <si>
    <t>Rudolf M F¨uchslin</t>
  </si>
  <si>
    <t>´ Angel Go˜ni-Moreno</t>
  </si>
  <si>
    <t>Special session : Hybrid Life</t>
  </si>
  <si>
    <t>Special session: Autonomous evolution, production and learning in robotic eco-systems</t>
  </si>
  <si>
    <t>Artificial Chemistry</t>
  </si>
  <si>
    <t>Artificial Life in Social Sciences</t>
  </si>
  <si>
    <t>Biological Systems</t>
  </si>
  <si>
    <t>Complex Dynamical Systems</t>
  </si>
  <si>
    <t>Emergence of Innovation and Cooperation</t>
  </si>
  <si>
    <t>Evolution</t>
  </si>
  <si>
    <t>Neural Networks</t>
  </si>
  <si>
    <t>Perception</t>
  </si>
  <si>
    <t>Philosophy, Language, Art and Education</t>
  </si>
  <si>
    <t>Robot Control</t>
  </si>
  <si>
    <t>Swarm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</si>
</sst>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A6B5-EBB4-45A4-8155-1DC70FA7D670}">
  <dimension ref="A1:AL584"/>
  <sheetViews>
    <sheetView tabSelected="1" workbookViewId="0">
      <pane xSplit="2" ySplit="1" topLeftCell="C517" activePane="bottomRight" state="frozen"/>
      <selection pane="topRight" activeCell="C1" sqref="C1"/>
      <selection pane="bottomLeft" activeCell="A2" sqref="A2"/>
      <selection pane="bottomRight" activeCell="F581" sqref="F581"/>
    </sheetView>
  </sheetViews>
  <sheetFormatPr defaultRowHeight="14.5" x14ac:dyDescent="0.35"/>
  <cols>
    <col min="1" max="1" width="4" customWidth="1"/>
    <col min="2" max="2" width="58.08984375" customWidth="1"/>
    <col min="4" max="4" width="11.36328125" customWidth="1"/>
    <col min="5" max="5" width="55.6328125" customWidth="1"/>
    <col min="6" max="7" width="32.90625" customWidth="1"/>
  </cols>
  <sheetData>
    <row r="1" spans="1:38" x14ac:dyDescent="0.35">
      <c r="A1" s="1" t="s">
        <v>6</v>
      </c>
      <c r="B1" s="1" t="s">
        <v>0</v>
      </c>
      <c r="C1" s="1" t="s">
        <v>2</v>
      </c>
      <c r="D1" s="1" t="s">
        <v>1</v>
      </c>
      <c r="E1" s="1" t="s">
        <v>7</v>
      </c>
      <c r="F1" s="1" t="s">
        <v>3</v>
      </c>
      <c r="G1" s="1"/>
      <c r="H1" s="1" t="s">
        <v>4</v>
      </c>
      <c r="I1" s="1" t="s">
        <v>5</v>
      </c>
      <c r="J1" s="1" t="s">
        <v>445</v>
      </c>
      <c r="K1" s="1" t="s">
        <v>446</v>
      </c>
      <c r="L1" s="1" t="s">
        <v>447</v>
      </c>
      <c r="M1" s="1" t="s">
        <v>448</v>
      </c>
      <c r="N1" s="1" t="s">
        <v>449</v>
      </c>
      <c r="O1" s="1" t="s">
        <v>450</v>
      </c>
      <c r="P1" s="1" t="s">
        <v>451</v>
      </c>
      <c r="Q1" s="1" t="s">
        <v>452</v>
      </c>
      <c r="R1" s="1" t="s">
        <v>910</v>
      </c>
      <c r="S1" s="1" t="s">
        <v>911</v>
      </c>
      <c r="T1" s="1" t="s">
        <v>912</v>
      </c>
      <c r="U1" s="1" t="s">
        <v>913</v>
      </c>
      <c r="V1" s="1" t="s">
        <v>914</v>
      </c>
      <c r="W1" s="1" t="s">
        <v>915</v>
      </c>
      <c r="X1" s="1" t="s">
        <v>1285</v>
      </c>
      <c r="Y1" s="1" t="s">
        <v>1286</v>
      </c>
      <c r="Z1" s="1" t="s">
        <v>1287</v>
      </c>
      <c r="AA1" s="1" t="s">
        <v>1288</v>
      </c>
      <c r="AB1" s="1" t="s">
        <v>1289</v>
      </c>
      <c r="AC1" s="1" t="s">
        <v>1290</v>
      </c>
      <c r="AD1" s="1" t="s">
        <v>1291</v>
      </c>
      <c r="AE1" s="1" t="s">
        <v>1292</v>
      </c>
      <c r="AF1" s="1" t="s">
        <v>1293</v>
      </c>
      <c r="AG1" s="1" t="s">
        <v>1294</v>
      </c>
      <c r="AH1" s="1" t="s">
        <v>1295</v>
      </c>
      <c r="AI1" s="1" t="s">
        <v>1296</v>
      </c>
      <c r="AJ1" s="1" t="s">
        <v>1297</v>
      </c>
      <c r="AK1" s="1" t="s">
        <v>1298</v>
      </c>
      <c r="AL1" s="1" t="s">
        <v>1299</v>
      </c>
    </row>
    <row r="2" spans="1:38" x14ac:dyDescent="0.35">
      <c r="A2" s="1">
        <v>1</v>
      </c>
      <c r="B2" t="s">
        <v>8</v>
      </c>
      <c r="C2" t="s">
        <v>194</v>
      </c>
      <c r="D2">
        <v>2023</v>
      </c>
      <c r="E2" t="s">
        <v>1224</v>
      </c>
      <c r="F2" t="s">
        <v>186</v>
      </c>
      <c r="G2" t="s">
        <v>187</v>
      </c>
      <c r="H2">
        <v>4</v>
      </c>
      <c r="J2" t="s">
        <v>321</v>
      </c>
      <c r="K2" t="s">
        <v>453</v>
      </c>
      <c r="L2" t="s">
        <v>454</v>
      </c>
      <c r="M2" t="s">
        <v>455</v>
      </c>
      <c r="N2" t="s">
        <v>455</v>
      </c>
      <c r="O2" t="s">
        <v>455</v>
      </c>
      <c r="P2" t="s">
        <v>455</v>
      </c>
      <c r="Q2" t="s">
        <v>455</v>
      </c>
    </row>
    <row r="3" spans="1:38" x14ac:dyDescent="0.35">
      <c r="A3" s="1">
        <v>2</v>
      </c>
      <c r="B3" t="s">
        <v>9</v>
      </c>
      <c r="C3" t="s">
        <v>195</v>
      </c>
      <c r="D3">
        <v>2023</v>
      </c>
      <c r="E3" t="s">
        <v>1224</v>
      </c>
      <c r="F3" t="s">
        <v>186</v>
      </c>
      <c r="G3" t="s">
        <v>187</v>
      </c>
      <c r="H3">
        <v>11</v>
      </c>
      <c r="J3" t="s">
        <v>322</v>
      </c>
      <c r="K3" t="s">
        <v>456</v>
      </c>
      <c r="L3" t="s">
        <v>455</v>
      </c>
      <c r="M3" t="s">
        <v>455</v>
      </c>
      <c r="N3" t="s">
        <v>455</v>
      </c>
      <c r="O3" t="s">
        <v>455</v>
      </c>
      <c r="P3" t="s">
        <v>455</v>
      </c>
      <c r="Q3" t="s">
        <v>455</v>
      </c>
    </row>
    <row r="4" spans="1:38" x14ac:dyDescent="0.35">
      <c r="A4" s="1">
        <v>3</v>
      </c>
      <c r="B4" t="s">
        <v>10</v>
      </c>
      <c r="C4" t="s">
        <v>196</v>
      </c>
      <c r="D4">
        <v>2023</v>
      </c>
      <c r="E4" t="s">
        <v>1224</v>
      </c>
      <c r="F4" t="s">
        <v>186</v>
      </c>
      <c r="G4" t="s">
        <v>187</v>
      </c>
      <c r="H4">
        <v>14</v>
      </c>
      <c r="J4" t="s">
        <v>323</v>
      </c>
      <c r="K4" t="s">
        <v>457</v>
      </c>
      <c r="L4" t="s">
        <v>458</v>
      </c>
      <c r="M4" t="s">
        <v>455</v>
      </c>
      <c r="N4" t="s">
        <v>455</v>
      </c>
      <c r="O4" t="s">
        <v>455</v>
      </c>
      <c r="P4" t="s">
        <v>455</v>
      </c>
      <c r="Q4" t="s">
        <v>455</v>
      </c>
    </row>
    <row r="5" spans="1:38" x14ac:dyDescent="0.35">
      <c r="A5" s="1">
        <v>4</v>
      </c>
      <c r="B5" t="s">
        <v>11</v>
      </c>
      <c r="C5" t="s">
        <v>159</v>
      </c>
      <c r="D5">
        <v>2023</v>
      </c>
      <c r="E5" t="s">
        <v>1224</v>
      </c>
      <c r="F5" t="s">
        <v>186</v>
      </c>
      <c r="G5" t="s">
        <v>187</v>
      </c>
      <c r="H5">
        <v>24</v>
      </c>
      <c r="J5" t="s">
        <v>159</v>
      </c>
      <c r="K5" t="s">
        <v>455</v>
      </c>
      <c r="L5" t="s">
        <v>455</v>
      </c>
      <c r="M5" t="s">
        <v>455</v>
      </c>
      <c r="N5" t="s">
        <v>455</v>
      </c>
      <c r="O5" t="s">
        <v>455</v>
      </c>
      <c r="P5" t="s">
        <v>455</v>
      </c>
      <c r="Q5" t="s">
        <v>455</v>
      </c>
    </row>
    <row r="6" spans="1:38" x14ac:dyDescent="0.35">
      <c r="A6" s="1">
        <v>5</v>
      </c>
      <c r="B6" t="s">
        <v>12</v>
      </c>
      <c r="C6" t="s">
        <v>197</v>
      </c>
      <c r="D6">
        <v>2023</v>
      </c>
      <c r="E6" t="s">
        <v>1224</v>
      </c>
      <c r="F6" t="s">
        <v>186</v>
      </c>
      <c r="G6" t="s">
        <v>187</v>
      </c>
      <c r="H6">
        <v>33</v>
      </c>
      <c r="J6" t="s">
        <v>324</v>
      </c>
      <c r="K6" t="s">
        <v>459</v>
      </c>
      <c r="L6" t="s">
        <v>460</v>
      </c>
      <c r="M6" t="s">
        <v>455</v>
      </c>
      <c r="N6" t="s">
        <v>455</v>
      </c>
      <c r="O6" t="s">
        <v>455</v>
      </c>
      <c r="P6" t="s">
        <v>455</v>
      </c>
      <c r="Q6" t="s">
        <v>455</v>
      </c>
    </row>
    <row r="7" spans="1:38" x14ac:dyDescent="0.35">
      <c r="A7" s="1">
        <v>6</v>
      </c>
      <c r="B7" t="s">
        <v>13</v>
      </c>
      <c r="C7" t="s">
        <v>198</v>
      </c>
      <c r="D7">
        <v>2023</v>
      </c>
      <c r="E7" t="s">
        <v>1224</v>
      </c>
      <c r="F7" t="s">
        <v>186</v>
      </c>
      <c r="G7" t="s">
        <v>187</v>
      </c>
      <c r="H7">
        <v>36</v>
      </c>
      <c r="J7" t="s">
        <v>325</v>
      </c>
      <c r="K7" t="s">
        <v>461</v>
      </c>
      <c r="L7" t="s">
        <v>462</v>
      </c>
      <c r="M7" t="s">
        <v>455</v>
      </c>
      <c r="N7" t="s">
        <v>455</v>
      </c>
      <c r="O7" t="s">
        <v>455</v>
      </c>
      <c r="P7" t="s">
        <v>455</v>
      </c>
      <c r="Q7" t="s">
        <v>455</v>
      </c>
    </row>
    <row r="8" spans="1:38" x14ac:dyDescent="0.35">
      <c r="A8" s="1">
        <v>7</v>
      </c>
      <c r="B8" t="s">
        <v>14</v>
      </c>
      <c r="C8" t="s">
        <v>199</v>
      </c>
      <c r="D8">
        <v>2023</v>
      </c>
      <c r="E8" t="s">
        <v>1224</v>
      </c>
      <c r="F8" t="s">
        <v>186</v>
      </c>
      <c r="G8" t="s">
        <v>187</v>
      </c>
      <c r="H8">
        <v>43</v>
      </c>
      <c r="J8" t="s">
        <v>326</v>
      </c>
      <c r="K8" t="s">
        <v>463</v>
      </c>
      <c r="L8" t="s">
        <v>464</v>
      </c>
      <c r="M8" t="s">
        <v>465</v>
      </c>
      <c r="N8" t="s">
        <v>466</v>
      </c>
      <c r="O8" t="s">
        <v>455</v>
      </c>
      <c r="P8" t="s">
        <v>455</v>
      </c>
      <c r="Q8" t="s">
        <v>455</v>
      </c>
    </row>
    <row r="9" spans="1:38" x14ac:dyDescent="0.35">
      <c r="A9" s="1">
        <v>8</v>
      </c>
      <c r="B9" t="s">
        <v>15</v>
      </c>
      <c r="C9" t="s">
        <v>200</v>
      </c>
      <c r="D9">
        <v>2023</v>
      </c>
      <c r="E9" t="s">
        <v>1224</v>
      </c>
      <c r="F9" t="s">
        <v>186</v>
      </c>
      <c r="G9" t="s">
        <v>187</v>
      </c>
      <c r="H9">
        <v>51</v>
      </c>
      <c r="J9" t="s">
        <v>327</v>
      </c>
      <c r="K9" t="s">
        <v>467</v>
      </c>
      <c r="L9" t="s">
        <v>468</v>
      </c>
      <c r="M9" t="s">
        <v>469</v>
      </c>
      <c r="N9" t="s">
        <v>470</v>
      </c>
      <c r="O9" t="s">
        <v>471</v>
      </c>
      <c r="P9" t="s">
        <v>472</v>
      </c>
      <c r="Q9" t="s">
        <v>473</v>
      </c>
    </row>
    <row r="10" spans="1:38" x14ac:dyDescent="0.35">
      <c r="A10" s="1">
        <v>9</v>
      </c>
      <c r="B10" t="s">
        <v>16</v>
      </c>
      <c r="C10" t="s">
        <v>201</v>
      </c>
      <c r="D10">
        <v>2023</v>
      </c>
      <c r="E10" t="s">
        <v>1224</v>
      </c>
      <c r="F10" t="s">
        <v>186</v>
      </c>
      <c r="G10" t="s">
        <v>187</v>
      </c>
      <c r="H10">
        <v>59</v>
      </c>
      <c r="J10" t="s">
        <v>328</v>
      </c>
      <c r="K10" t="s">
        <v>474</v>
      </c>
      <c r="L10" t="s">
        <v>475</v>
      </c>
      <c r="M10" t="s">
        <v>476</v>
      </c>
      <c r="N10" t="s">
        <v>477</v>
      </c>
      <c r="O10" t="s">
        <v>478</v>
      </c>
      <c r="P10" t="s">
        <v>479</v>
      </c>
      <c r="Q10" t="s">
        <v>455</v>
      </c>
    </row>
    <row r="11" spans="1:38" x14ac:dyDescent="0.35">
      <c r="A11" s="1">
        <v>10</v>
      </c>
      <c r="B11" t="s">
        <v>17</v>
      </c>
      <c r="C11" t="s">
        <v>160</v>
      </c>
      <c r="D11">
        <v>2023</v>
      </c>
      <c r="E11" t="s">
        <v>1224</v>
      </c>
      <c r="F11" t="s">
        <v>186</v>
      </c>
      <c r="G11" t="s">
        <v>187</v>
      </c>
      <c r="H11">
        <v>68</v>
      </c>
      <c r="J11" t="s">
        <v>160</v>
      </c>
      <c r="K11" t="s">
        <v>455</v>
      </c>
      <c r="L11" t="s">
        <v>455</v>
      </c>
      <c r="M11" t="s">
        <v>455</v>
      </c>
      <c r="N11" t="s">
        <v>455</v>
      </c>
      <c r="O11" t="s">
        <v>455</v>
      </c>
      <c r="P11" t="s">
        <v>455</v>
      </c>
      <c r="Q11" t="s">
        <v>455</v>
      </c>
    </row>
    <row r="12" spans="1:38" x14ac:dyDescent="0.35">
      <c r="A12" s="1">
        <v>11</v>
      </c>
      <c r="B12" t="s">
        <v>18</v>
      </c>
      <c r="C12" t="s">
        <v>161</v>
      </c>
      <c r="D12">
        <v>2023</v>
      </c>
      <c r="E12" t="s">
        <v>1224</v>
      </c>
      <c r="F12" t="s">
        <v>186</v>
      </c>
      <c r="G12" t="s">
        <v>187</v>
      </c>
      <c r="H12">
        <v>79</v>
      </c>
      <c r="J12" t="s">
        <v>161</v>
      </c>
      <c r="K12" t="s">
        <v>455</v>
      </c>
      <c r="L12" t="s">
        <v>455</v>
      </c>
      <c r="M12" t="s">
        <v>455</v>
      </c>
      <c r="N12" t="s">
        <v>455</v>
      </c>
      <c r="O12" t="s">
        <v>455</v>
      </c>
      <c r="P12" t="s">
        <v>455</v>
      </c>
      <c r="Q12" t="s">
        <v>455</v>
      </c>
    </row>
    <row r="13" spans="1:38" x14ac:dyDescent="0.35">
      <c r="A13" s="1">
        <v>12</v>
      </c>
      <c r="B13" t="s">
        <v>19</v>
      </c>
      <c r="C13" t="s">
        <v>202</v>
      </c>
      <c r="D13">
        <v>2023</v>
      </c>
      <c r="E13" t="s">
        <v>1224</v>
      </c>
      <c r="F13" t="s">
        <v>186</v>
      </c>
      <c r="G13" t="s">
        <v>187</v>
      </c>
      <c r="H13">
        <v>82</v>
      </c>
      <c r="J13" t="s">
        <v>329</v>
      </c>
      <c r="K13" t="s">
        <v>480</v>
      </c>
      <c r="L13" t="s">
        <v>481</v>
      </c>
      <c r="M13" t="s">
        <v>482</v>
      </c>
      <c r="N13" t="s">
        <v>455</v>
      </c>
      <c r="O13" t="s">
        <v>455</v>
      </c>
      <c r="P13" t="s">
        <v>455</v>
      </c>
      <c r="Q13" t="s">
        <v>455</v>
      </c>
    </row>
    <row r="14" spans="1:38" x14ac:dyDescent="0.35">
      <c r="A14" s="1">
        <v>13</v>
      </c>
      <c r="B14" t="s">
        <v>20</v>
      </c>
      <c r="C14" t="s">
        <v>162</v>
      </c>
      <c r="D14">
        <v>2023</v>
      </c>
      <c r="E14" t="s">
        <v>1224</v>
      </c>
      <c r="F14" t="s">
        <v>186</v>
      </c>
      <c r="G14" t="s">
        <v>187</v>
      </c>
      <c r="H14">
        <v>92</v>
      </c>
      <c r="J14" t="s">
        <v>162</v>
      </c>
      <c r="K14" t="s">
        <v>455</v>
      </c>
      <c r="L14" t="s">
        <v>455</v>
      </c>
      <c r="M14" t="s">
        <v>455</v>
      </c>
      <c r="N14" t="s">
        <v>455</v>
      </c>
      <c r="O14" t="s">
        <v>455</v>
      </c>
      <c r="P14" t="s">
        <v>455</v>
      </c>
      <c r="Q14" t="s">
        <v>455</v>
      </c>
    </row>
    <row r="15" spans="1:38" x14ac:dyDescent="0.35">
      <c r="A15" s="1">
        <v>14</v>
      </c>
      <c r="B15" t="s">
        <v>21</v>
      </c>
      <c r="C15" t="s">
        <v>203</v>
      </c>
      <c r="D15">
        <v>2023</v>
      </c>
      <c r="E15" t="s">
        <v>1224</v>
      </c>
      <c r="F15" t="s">
        <v>186</v>
      </c>
      <c r="G15" t="s">
        <v>187</v>
      </c>
      <c r="H15">
        <v>100</v>
      </c>
      <c r="J15" t="s">
        <v>330</v>
      </c>
      <c r="K15" t="s">
        <v>483</v>
      </c>
      <c r="L15" t="s">
        <v>484</v>
      </c>
      <c r="M15" t="s">
        <v>485</v>
      </c>
      <c r="N15" t="s">
        <v>455</v>
      </c>
      <c r="O15" t="s">
        <v>455</v>
      </c>
      <c r="P15" t="s">
        <v>455</v>
      </c>
      <c r="Q15" t="s">
        <v>455</v>
      </c>
    </row>
    <row r="16" spans="1:38" x14ac:dyDescent="0.35">
      <c r="A16" s="1">
        <v>15</v>
      </c>
      <c r="B16" t="s">
        <v>22</v>
      </c>
      <c r="C16" t="s">
        <v>204</v>
      </c>
      <c r="D16">
        <v>2023</v>
      </c>
      <c r="E16" t="s">
        <v>1224</v>
      </c>
      <c r="F16" t="s">
        <v>186</v>
      </c>
      <c r="G16" t="s">
        <v>187</v>
      </c>
      <c r="H16">
        <v>109</v>
      </c>
      <c r="J16" t="s">
        <v>331</v>
      </c>
      <c r="K16" t="s">
        <v>486</v>
      </c>
      <c r="L16" t="s">
        <v>485</v>
      </c>
      <c r="M16" t="s">
        <v>455</v>
      </c>
      <c r="N16" t="s">
        <v>455</v>
      </c>
      <c r="O16" t="s">
        <v>455</v>
      </c>
      <c r="P16" t="s">
        <v>455</v>
      </c>
      <c r="Q16" t="s">
        <v>455</v>
      </c>
    </row>
    <row r="17" spans="1:17" x14ac:dyDescent="0.35">
      <c r="A17" s="1">
        <v>16</v>
      </c>
      <c r="B17" t="s">
        <v>23</v>
      </c>
      <c r="C17" t="s">
        <v>205</v>
      </c>
      <c r="D17">
        <v>2023</v>
      </c>
      <c r="E17" t="s">
        <v>1224</v>
      </c>
      <c r="F17" t="s">
        <v>186</v>
      </c>
      <c r="G17" t="s">
        <v>187</v>
      </c>
      <c r="H17">
        <v>118</v>
      </c>
      <c r="J17" t="s">
        <v>332</v>
      </c>
      <c r="K17" t="s">
        <v>487</v>
      </c>
      <c r="L17" t="s">
        <v>455</v>
      </c>
      <c r="M17" t="s">
        <v>455</v>
      </c>
      <c r="N17" t="s">
        <v>455</v>
      </c>
      <c r="O17" t="s">
        <v>455</v>
      </c>
      <c r="P17" t="s">
        <v>455</v>
      </c>
      <c r="Q17" t="s">
        <v>455</v>
      </c>
    </row>
    <row r="18" spans="1:17" x14ac:dyDescent="0.35">
      <c r="A18" s="1">
        <v>17</v>
      </c>
      <c r="B18" t="s">
        <v>24</v>
      </c>
      <c r="C18" t="s">
        <v>206</v>
      </c>
      <c r="D18">
        <v>2023</v>
      </c>
      <c r="E18" t="s">
        <v>1224</v>
      </c>
      <c r="F18" t="s">
        <v>186</v>
      </c>
      <c r="G18" t="s">
        <v>187</v>
      </c>
      <c r="H18">
        <v>126</v>
      </c>
      <c r="J18" t="s">
        <v>333</v>
      </c>
      <c r="K18" t="s">
        <v>488</v>
      </c>
      <c r="L18" t="s">
        <v>455</v>
      </c>
      <c r="M18" t="s">
        <v>455</v>
      </c>
      <c r="N18" t="s">
        <v>455</v>
      </c>
      <c r="O18" t="s">
        <v>455</v>
      </c>
      <c r="P18" t="s">
        <v>455</v>
      </c>
      <c r="Q18" t="s">
        <v>455</v>
      </c>
    </row>
    <row r="19" spans="1:17" x14ac:dyDescent="0.35">
      <c r="A19" s="1">
        <v>18</v>
      </c>
      <c r="B19" t="s">
        <v>25</v>
      </c>
      <c r="C19" t="s">
        <v>207</v>
      </c>
      <c r="D19">
        <v>2023</v>
      </c>
      <c r="E19" t="s">
        <v>1224</v>
      </c>
      <c r="F19" t="s">
        <v>186</v>
      </c>
      <c r="G19" t="s">
        <v>187</v>
      </c>
      <c r="H19">
        <v>135</v>
      </c>
      <c r="J19" t="s">
        <v>334</v>
      </c>
      <c r="K19" t="s">
        <v>489</v>
      </c>
      <c r="L19" t="s">
        <v>490</v>
      </c>
      <c r="M19" t="s">
        <v>491</v>
      </c>
      <c r="N19" t="s">
        <v>492</v>
      </c>
      <c r="O19" t="s">
        <v>455</v>
      </c>
      <c r="P19" t="s">
        <v>455</v>
      </c>
      <c r="Q19" t="s">
        <v>455</v>
      </c>
    </row>
    <row r="20" spans="1:17" x14ac:dyDescent="0.35">
      <c r="A20" s="1">
        <v>19</v>
      </c>
      <c r="B20" t="s">
        <v>26</v>
      </c>
      <c r="C20" t="s">
        <v>208</v>
      </c>
      <c r="D20">
        <v>2023</v>
      </c>
      <c r="E20" t="s">
        <v>1224</v>
      </c>
      <c r="F20" t="s">
        <v>186</v>
      </c>
      <c r="G20" t="s">
        <v>187</v>
      </c>
      <c r="H20">
        <v>138</v>
      </c>
      <c r="J20" t="s">
        <v>335</v>
      </c>
      <c r="K20" t="s">
        <v>493</v>
      </c>
      <c r="L20" t="s">
        <v>455</v>
      </c>
      <c r="M20" t="s">
        <v>455</v>
      </c>
      <c r="N20" t="s">
        <v>455</v>
      </c>
      <c r="O20" t="s">
        <v>455</v>
      </c>
      <c r="P20" t="s">
        <v>455</v>
      </c>
      <c r="Q20" t="s">
        <v>455</v>
      </c>
    </row>
    <row r="21" spans="1:17" x14ac:dyDescent="0.35">
      <c r="A21" s="1">
        <v>20</v>
      </c>
      <c r="B21" t="s">
        <v>27</v>
      </c>
      <c r="C21" t="s">
        <v>209</v>
      </c>
      <c r="D21">
        <v>2023</v>
      </c>
      <c r="E21" t="s">
        <v>1224</v>
      </c>
      <c r="F21" t="s">
        <v>186</v>
      </c>
      <c r="G21" t="s">
        <v>187</v>
      </c>
      <c r="H21">
        <v>147</v>
      </c>
      <c r="J21" t="s">
        <v>336</v>
      </c>
      <c r="K21" t="s">
        <v>494</v>
      </c>
      <c r="L21" t="s">
        <v>455</v>
      </c>
      <c r="M21" t="s">
        <v>455</v>
      </c>
      <c r="N21" t="s">
        <v>455</v>
      </c>
      <c r="O21" t="s">
        <v>455</v>
      </c>
      <c r="P21" t="s">
        <v>455</v>
      </c>
      <c r="Q21" t="s">
        <v>455</v>
      </c>
    </row>
    <row r="22" spans="1:17" x14ac:dyDescent="0.35">
      <c r="A22" s="1">
        <v>21</v>
      </c>
      <c r="B22" t="s">
        <v>28</v>
      </c>
      <c r="C22" t="s">
        <v>210</v>
      </c>
      <c r="D22">
        <v>2023</v>
      </c>
      <c r="E22" t="s">
        <v>1224</v>
      </c>
      <c r="F22" t="s">
        <v>186</v>
      </c>
      <c r="G22" t="s">
        <v>187</v>
      </c>
      <c r="H22">
        <v>157</v>
      </c>
      <c r="J22" t="s">
        <v>337</v>
      </c>
      <c r="K22" t="s">
        <v>371</v>
      </c>
      <c r="L22" t="s">
        <v>495</v>
      </c>
      <c r="M22" t="s">
        <v>455</v>
      </c>
      <c r="N22" t="s">
        <v>455</v>
      </c>
      <c r="O22" t="s">
        <v>455</v>
      </c>
      <c r="P22" t="s">
        <v>455</v>
      </c>
      <c r="Q22" t="s">
        <v>455</v>
      </c>
    </row>
    <row r="23" spans="1:17" x14ac:dyDescent="0.35">
      <c r="A23" s="1">
        <v>22</v>
      </c>
      <c r="B23" t="s">
        <v>29</v>
      </c>
      <c r="C23" t="s">
        <v>211</v>
      </c>
      <c r="D23">
        <v>2023</v>
      </c>
      <c r="E23" t="s">
        <v>1224</v>
      </c>
      <c r="F23" t="s">
        <v>186</v>
      </c>
      <c r="G23" t="s">
        <v>187</v>
      </c>
      <c r="H23">
        <v>167</v>
      </c>
      <c r="J23" t="s">
        <v>338</v>
      </c>
      <c r="K23" t="s">
        <v>340</v>
      </c>
      <c r="L23" t="s">
        <v>496</v>
      </c>
      <c r="M23" t="s">
        <v>455</v>
      </c>
      <c r="N23" t="s">
        <v>455</v>
      </c>
      <c r="O23" t="s">
        <v>455</v>
      </c>
      <c r="P23" t="s">
        <v>455</v>
      </c>
      <c r="Q23" t="s">
        <v>455</v>
      </c>
    </row>
    <row r="24" spans="1:17" x14ac:dyDescent="0.35">
      <c r="A24" s="1">
        <v>23</v>
      </c>
      <c r="B24" t="s">
        <v>30</v>
      </c>
      <c r="C24" t="s">
        <v>212</v>
      </c>
      <c r="D24">
        <v>2023</v>
      </c>
      <c r="E24" t="s">
        <v>1224</v>
      </c>
      <c r="F24" t="s">
        <v>186</v>
      </c>
      <c r="G24" t="s">
        <v>187</v>
      </c>
      <c r="H24">
        <v>176</v>
      </c>
      <c r="J24" t="s">
        <v>338</v>
      </c>
      <c r="K24" t="s">
        <v>497</v>
      </c>
      <c r="L24" t="s">
        <v>498</v>
      </c>
      <c r="M24" t="s">
        <v>455</v>
      </c>
      <c r="N24" t="s">
        <v>455</v>
      </c>
      <c r="O24" t="s">
        <v>455</v>
      </c>
      <c r="P24" t="s">
        <v>455</v>
      </c>
      <c r="Q24" t="s">
        <v>455</v>
      </c>
    </row>
    <row r="25" spans="1:17" x14ac:dyDescent="0.35">
      <c r="A25" s="1">
        <v>24</v>
      </c>
      <c r="B25" t="s">
        <v>31</v>
      </c>
      <c r="C25" t="s">
        <v>213</v>
      </c>
      <c r="D25">
        <v>2023</v>
      </c>
      <c r="E25" t="s">
        <v>1224</v>
      </c>
      <c r="F25" t="s">
        <v>186</v>
      </c>
      <c r="G25" t="s">
        <v>187</v>
      </c>
      <c r="H25">
        <v>185</v>
      </c>
      <c r="J25" t="s">
        <v>339</v>
      </c>
      <c r="K25" t="s">
        <v>499</v>
      </c>
      <c r="L25" t="s">
        <v>500</v>
      </c>
      <c r="M25" t="s">
        <v>455</v>
      </c>
      <c r="N25" t="s">
        <v>455</v>
      </c>
      <c r="O25" t="s">
        <v>455</v>
      </c>
      <c r="P25" t="s">
        <v>455</v>
      </c>
      <c r="Q25" t="s">
        <v>455</v>
      </c>
    </row>
    <row r="26" spans="1:17" x14ac:dyDescent="0.35">
      <c r="A26" s="1">
        <v>25</v>
      </c>
      <c r="B26" t="s">
        <v>32</v>
      </c>
      <c r="C26" t="s">
        <v>214</v>
      </c>
      <c r="D26">
        <v>2023</v>
      </c>
      <c r="E26" t="s">
        <v>1224</v>
      </c>
      <c r="F26" t="s">
        <v>186</v>
      </c>
      <c r="G26" t="s">
        <v>187</v>
      </c>
      <c r="H26">
        <v>188</v>
      </c>
      <c r="J26" t="s">
        <v>340</v>
      </c>
      <c r="K26" t="s">
        <v>498</v>
      </c>
      <c r="L26" t="s">
        <v>455</v>
      </c>
      <c r="M26" t="s">
        <v>455</v>
      </c>
      <c r="N26" t="s">
        <v>455</v>
      </c>
      <c r="O26" t="s">
        <v>455</v>
      </c>
      <c r="P26" t="s">
        <v>455</v>
      </c>
      <c r="Q26" t="s">
        <v>455</v>
      </c>
    </row>
    <row r="27" spans="1:17" x14ac:dyDescent="0.35">
      <c r="A27" s="1">
        <v>26</v>
      </c>
      <c r="B27" t="s">
        <v>33</v>
      </c>
      <c r="C27" t="s">
        <v>215</v>
      </c>
      <c r="D27">
        <v>2023</v>
      </c>
      <c r="E27" t="s">
        <v>1224</v>
      </c>
      <c r="F27" t="s">
        <v>186</v>
      </c>
      <c r="G27" t="s">
        <v>187</v>
      </c>
      <c r="H27">
        <v>197</v>
      </c>
      <c r="J27" t="s">
        <v>341</v>
      </c>
      <c r="K27" t="s">
        <v>501</v>
      </c>
      <c r="L27" t="s">
        <v>502</v>
      </c>
      <c r="M27" t="s">
        <v>455</v>
      </c>
      <c r="N27" t="s">
        <v>455</v>
      </c>
      <c r="O27" t="s">
        <v>455</v>
      </c>
      <c r="P27" t="s">
        <v>455</v>
      </c>
      <c r="Q27" t="s">
        <v>455</v>
      </c>
    </row>
    <row r="28" spans="1:17" x14ac:dyDescent="0.35">
      <c r="A28" s="1">
        <v>27</v>
      </c>
      <c r="B28" t="s">
        <v>34</v>
      </c>
      <c r="C28" t="s">
        <v>216</v>
      </c>
      <c r="D28">
        <v>2023</v>
      </c>
      <c r="E28" t="s">
        <v>1224</v>
      </c>
      <c r="F28" t="s">
        <v>186</v>
      </c>
      <c r="G28" t="s">
        <v>187</v>
      </c>
      <c r="H28">
        <v>200</v>
      </c>
      <c r="J28" t="s">
        <v>342</v>
      </c>
      <c r="K28" t="s">
        <v>503</v>
      </c>
      <c r="L28" t="s">
        <v>430</v>
      </c>
      <c r="M28" t="s">
        <v>504</v>
      </c>
      <c r="N28" t="s">
        <v>455</v>
      </c>
      <c r="O28" t="s">
        <v>455</v>
      </c>
      <c r="P28" t="s">
        <v>455</v>
      </c>
      <c r="Q28" t="s">
        <v>455</v>
      </c>
    </row>
    <row r="29" spans="1:17" x14ac:dyDescent="0.35">
      <c r="A29" s="1">
        <v>28</v>
      </c>
      <c r="B29" t="s">
        <v>35</v>
      </c>
      <c r="C29" t="s">
        <v>164</v>
      </c>
      <c r="D29">
        <v>2023</v>
      </c>
      <c r="E29" t="s">
        <v>1224</v>
      </c>
      <c r="F29" t="s">
        <v>186</v>
      </c>
      <c r="G29" t="s">
        <v>187</v>
      </c>
      <c r="H29">
        <v>202</v>
      </c>
      <c r="J29" t="s">
        <v>164</v>
      </c>
      <c r="K29" t="s">
        <v>455</v>
      </c>
      <c r="L29" t="s">
        <v>455</v>
      </c>
      <c r="M29" t="s">
        <v>455</v>
      </c>
      <c r="N29" t="s">
        <v>455</v>
      </c>
      <c r="O29" t="s">
        <v>455</v>
      </c>
      <c r="P29" t="s">
        <v>455</v>
      </c>
      <c r="Q29" t="s">
        <v>455</v>
      </c>
    </row>
    <row r="30" spans="1:17" x14ac:dyDescent="0.35">
      <c r="A30" s="1">
        <v>29</v>
      </c>
      <c r="B30" t="s">
        <v>36</v>
      </c>
      <c r="C30" t="s">
        <v>217</v>
      </c>
      <c r="D30">
        <v>2023</v>
      </c>
      <c r="E30" t="s">
        <v>1224</v>
      </c>
      <c r="F30" t="s">
        <v>186</v>
      </c>
      <c r="G30" t="s">
        <v>187</v>
      </c>
      <c r="H30">
        <v>210</v>
      </c>
      <c r="J30" t="s">
        <v>343</v>
      </c>
      <c r="K30" t="s">
        <v>505</v>
      </c>
      <c r="L30" t="s">
        <v>506</v>
      </c>
      <c r="M30" t="s">
        <v>507</v>
      </c>
      <c r="N30" t="s">
        <v>455</v>
      </c>
      <c r="O30" t="s">
        <v>455</v>
      </c>
      <c r="P30" t="s">
        <v>455</v>
      </c>
      <c r="Q30" t="s">
        <v>455</v>
      </c>
    </row>
    <row r="31" spans="1:17" x14ac:dyDescent="0.35">
      <c r="A31" s="1">
        <v>30</v>
      </c>
      <c r="B31" t="s">
        <v>37</v>
      </c>
      <c r="C31" t="s">
        <v>218</v>
      </c>
      <c r="D31">
        <v>2023</v>
      </c>
      <c r="E31" t="s">
        <v>1224</v>
      </c>
      <c r="F31" t="s">
        <v>186</v>
      </c>
      <c r="G31" t="s">
        <v>187</v>
      </c>
      <c r="H31">
        <v>219</v>
      </c>
      <c r="J31" t="s">
        <v>344</v>
      </c>
      <c r="K31" t="s">
        <v>508</v>
      </c>
      <c r="L31" t="s">
        <v>455</v>
      </c>
      <c r="M31" t="s">
        <v>455</v>
      </c>
      <c r="N31" t="s">
        <v>455</v>
      </c>
      <c r="O31" t="s">
        <v>455</v>
      </c>
      <c r="P31" t="s">
        <v>455</v>
      </c>
      <c r="Q31" t="s">
        <v>455</v>
      </c>
    </row>
    <row r="32" spans="1:17" x14ac:dyDescent="0.35">
      <c r="A32" s="1">
        <v>31</v>
      </c>
      <c r="B32" t="s">
        <v>38</v>
      </c>
      <c r="C32" t="s">
        <v>219</v>
      </c>
      <c r="D32">
        <v>2023</v>
      </c>
      <c r="E32" t="s">
        <v>1224</v>
      </c>
      <c r="F32" t="s">
        <v>186</v>
      </c>
      <c r="G32" t="s">
        <v>187</v>
      </c>
      <c r="H32">
        <v>228</v>
      </c>
      <c r="J32" t="s">
        <v>345</v>
      </c>
      <c r="K32" t="s">
        <v>509</v>
      </c>
      <c r="L32" t="s">
        <v>455</v>
      </c>
      <c r="M32" t="s">
        <v>455</v>
      </c>
      <c r="N32" t="s">
        <v>455</v>
      </c>
      <c r="O32" t="s">
        <v>455</v>
      </c>
      <c r="P32" t="s">
        <v>455</v>
      </c>
      <c r="Q32" t="s">
        <v>455</v>
      </c>
    </row>
    <row r="33" spans="1:17" x14ac:dyDescent="0.35">
      <c r="A33" s="1">
        <v>32</v>
      </c>
      <c r="B33" t="s">
        <v>39</v>
      </c>
      <c r="C33" t="s">
        <v>165</v>
      </c>
      <c r="D33">
        <v>2023</v>
      </c>
      <c r="E33" t="s">
        <v>1224</v>
      </c>
      <c r="F33" t="s">
        <v>186</v>
      </c>
      <c r="G33" t="s">
        <v>187</v>
      </c>
      <c r="H33">
        <v>239</v>
      </c>
      <c r="J33" t="s">
        <v>165</v>
      </c>
      <c r="K33" t="s">
        <v>455</v>
      </c>
      <c r="L33" t="s">
        <v>455</v>
      </c>
      <c r="M33" t="s">
        <v>455</v>
      </c>
      <c r="N33" t="s">
        <v>455</v>
      </c>
      <c r="O33" t="s">
        <v>455</v>
      </c>
      <c r="P33" t="s">
        <v>455</v>
      </c>
      <c r="Q33" t="s">
        <v>455</v>
      </c>
    </row>
    <row r="34" spans="1:17" x14ac:dyDescent="0.35">
      <c r="A34" s="1">
        <v>33</v>
      </c>
      <c r="B34" t="s">
        <v>40</v>
      </c>
      <c r="C34" t="s">
        <v>220</v>
      </c>
      <c r="D34">
        <v>2023</v>
      </c>
      <c r="E34" t="s">
        <v>1224</v>
      </c>
      <c r="F34" t="s">
        <v>186</v>
      </c>
      <c r="G34" t="s">
        <v>187</v>
      </c>
      <c r="H34">
        <v>242</v>
      </c>
      <c r="J34" t="s">
        <v>346</v>
      </c>
      <c r="K34" t="s">
        <v>341</v>
      </c>
      <c r="L34" t="s">
        <v>510</v>
      </c>
      <c r="M34" t="s">
        <v>502</v>
      </c>
      <c r="N34" t="s">
        <v>455</v>
      </c>
      <c r="O34" t="s">
        <v>455</v>
      </c>
      <c r="P34" t="s">
        <v>455</v>
      </c>
      <c r="Q34" t="s">
        <v>455</v>
      </c>
    </row>
    <row r="35" spans="1:17" x14ac:dyDescent="0.35">
      <c r="A35" s="1">
        <v>34</v>
      </c>
      <c r="B35" t="s">
        <v>41</v>
      </c>
      <c r="C35" t="s">
        <v>221</v>
      </c>
      <c r="D35">
        <v>2023</v>
      </c>
      <c r="E35" t="s">
        <v>1224</v>
      </c>
      <c r="F35" t="s">
        <v>186</v>
      </c>
      <c r="G35" t="s">
        <v>187</v>
      </c>
      <c r="H35">
        <v>245</v>
      </c>
      <c r="J35" t="s">
        <v>347</v>
      </c>
      <c r="K35" t="s">
        <v>511</v>
      </c>
      <c r="L35" t="s">
        <v>429</v>
      </c>
      <c r="M35" t="s">
        <v>455</v>
      </c>
      <c r="N35" t="s">
        <v>455</v>
      </c>
      <c r="O35" t="s">
        <v>455</v>
      </c>
      <c r="P35" t="s">
        <v>455</v>
      </c>
      <c r="Q35" t="s">
        <v>455</v>
      </c>
    </row>
    <row r="36" spans="1:17" x14ac:dyDescent="0.35">
      <c r="A36" s="1">
        <v>35</v>
      </c>
      <c r="B36" t="s">
        <v>42</v>
      </c>
      <c r="C36" t="s">
        <v>222</v>
      </c>
      <c r="D36">
        <v>2023</v>
      </c>
      <c r="E36" t="s">
        <v>1224</v>
      </c>
      <c r="F36" t="s">
        <v>186</v>
      </c>
      <c r="G36" t="s">
        <v>187</v>
      </c>
      <c r="H36">
        <v>255</v>
      </c>
      <c r="J36" t="s">
        <v>348</v>
      </c>
      <c r="K36" t="s">
        <v>512</v>
      </c>
      <c r="L36" t="s">
        <v>513</v>
      </c>
      <c r="M36" t="s">
        <v>455</v>
      </c>
      <c r="N36" t="s">
        <v>455</v>
      </c>
      <c r="O36" t="s">
        <v>455</v>
      </c>
      <c r="P36" t="s">
        <v>455</v>
      </c>
      <c r="Q36" t="s">
        <v>455</v>
      </c>
    </row>
    <row r="37" spans="1:17" x14ac:dyDescent="0.35">
      <c r="A37" s="1">
        <v>36</v>
      </c>
      <c r="B37" t="s">
        <v>43</v>
      </c>
      <c r="C37" t="s">
        <v>223</v>
      </c>
      <c r="D37">
        <v>2023</v>
      </c>
      <c r="E37" t="s">
        <v>1224</v>
      </c>
      <c r="F37" t="s">
        <v>186</v>
      </c>
      <c r="G37" t="s">
        <v>187</v>
      </c>
      <c r="H37">
        <v>258</v>
      </c>
      <c r="J37" t="s">
        <v>349</v>
      </c>
      <c r="K37" t="s">
        <v>514</v>
      </c>
      <c r="L37" t="s">
        <v>455</v>
      </c>
      <c r="M37" t="s">
        <v>455</v>
      </c>
      <c r="N37" t="s">
        <v>455</v>
      </c>
      <c r="O37" t="s">
        <v>455</v>
      </c>
      <c r="P37" t="s">
        <v>455</v>
      </c>
      <c r="Q37" t="s">
        <v>455</v>
      </c>
    </row>
    <row r="38" spans="1:17" x14ac:dyDescent="0.35">
      <c r="A38" s="1">
        <v>37</v>
      </c>
      <c r="B38" t="s">
        <v>44</v>
      </c>
      <c r="C38" t="s">
        <v>224</v>
      </c>
      <c r="D38">
        <v>2023</v>
      </c>
      <c r="E38" t="s">
        <v>1224</v>
      </c>
      <c r="F38" t="s">
        <v>186</v>
      </c>
      <c r="G38" t="s">
        <v>187</v>
      </c>
      <c r="H38">
        <v>267</v>
      </c>
      <c r="J38" t="s">
        <v>350</v>
      </c>
      <c r="K38" t="s">
        <v>355</v>
      </c>
      <c r="L38" t="s">
        <v>515</v>
      </c>
      <c r="M38" t="s">
        <v>455</v>
      </c>
      <c r="N38" t="s">
        <v>455</v>
      </c>
      <c r="O38" t="s">
        <v>455</v>
      </c>
      <c r="P38" t="s">
        <v>455</v>
      </c>
      <c r="Q38" t="s">
        <v>455</v>
      </c>
    </row>
    <row r="39" spans="1:17" x14ac:dyDescent="0.35">
      <c r="A39" s="1">
        <v>38</v>
      </c>
      <c r="B39" t="s">
        <v>45</v>
      </c>
      <c r="C39" t="s">
        <v>225</v>
      </c>
      <c r="D39">
        <v>2023</v>
      </c>
      <c r="E39" t="s">
        <v>1224</v>
      </c>
      <c r="F39" t="s">
        <v>186</v>
      </c>
      <c r="G39" t="s">
        <v>187</v>
      </c>
      <c r="H39">
        <v>270</v>
      </c>
      <c r="J39" t="s">
        <v>351</v>
      </c>
      <c r="K39" t="s">
        <v>515</v>
      </c>
      <c r="L39" t="s">
        <v>455</v>
      </c>
      <c r="M39" t="s">
        <v>455</v>
      </c>
      <c r="N39" t="s">
        <v>455</v>
      </c>
      <c r="O39" t="s">
        <v>455</v>
      </c>
      <c r="P39" t="s">
        <v>455</v>
      </c>
      <c r="Q39" t="s">
        <v>455</v>
      </c>
    </row>
    <row r="40" spans="1:17" x14ac:dyDescent="0.35">
      <c r="A40" s="1">
        <v>39</v>
      </c>
      <c r="B40" t="s">
        <v>46</v>
      </c>
      <c r="C40" t="s">
        <v>226</v>
      </c>
      <c r="D40">
        <v>2023</v>
      </c>
      <c r="E40" t="s">
        <v>1224</v>
      </c>
      <c r="F40" t="s">
        <v>186</v>
      </c>
      <c r="G40" t="s">
        <v>187</v>
      </c>
      <c r="H40">
        <v>273</v>
      </c>
      <c r="J40" t="s">
        <v>352</v>
      </c>
      <c r="K40" t="s">
        <v>516</v>
      </c>
      <c r="L40" t="s">
        <v>517</v>
      </c>
      <c r="M40" t="s">
        <v>518</v>
      </c>
      <c r="N40" t="s">
        <v>455</v>
      </c>
      <c r="O40" t="s">
        <v>455</v>
      </c>
      <c r="P40" t="s">
        <v>455</v>
      </c>
      <c r="Q40" t="s">
        <v>455</v>
      </c>
    </row>
    <row r="41" spans="1:17" x14ac:dyDescent="0.35">
      <c r="A41" s="1">
        <v>40</v>
      </c>
      <c r="B41" t="s">
        <v>47</v>
      </c>
      <c r="C41" t="s">
        <v>227</v>
      </c>
      <c r="D41">
        <v>2023</v>
      </c>
      <c r="E41" t="s">
        <v>1224</v>
      </c>
      <c r="F41" t="s">
        <v>186</v>
      </c>
      <c r="G41" t="s">
        <v>187</v>
      </c>
      <c r="H41">
        <v>282</v>
      </c>
      <c r="J41" t="s">
        <v>353</v>
      </c>
      <c r="K41" t="s">
        <v>519</v>
      </c>
      <c r="L41" t="s">
        <v>520</v>
      </c>
      <c r="M41" t="s">
        <v>455</v>
      </c>
      <c r="N41" t="s">
        <v>455</v>
      </c>
      <c r="O41" t="s">
        <v>455</v>
      </c>
      <c r="P41" t="s">
        <v>455</v>
      </c>
      <c r="Q41" t="s">
        <v>455</v>
      </c>
    </row>
    <row r="42" spans="1:17" x14ac:dyDescent="0.35">
      <c r="A42" s="1">
        <v>41</v>
      </c>
      <c r="B42" t="s">
        <v>48</v>
      </c>
      <c r="C42" t="s">
        <v>228</v>
      </c>
      <c r="D42">
        <v>2023</v>
      </c>
      <c r="E42" t="s">
        <v>1224</v>
      </c>
      <c r="F42" t="s">
        <v>186</v>
      </c>
      <c r="G42" t="s">
        <v>187</v>
      </c>
      <c r="H42">
        <v>292</v>
      </c>
      <c r="J42" t="s">
        <v>354</v>
      </c>
      <c r="K42" t="s">
        <v>351</v>
      </c>
      <c r="L42" t="s">
        <v>418</v>
      </c>
      <c r="M42" t="s">
        <v>521</v>
      </c>
      <c r="N42" t="s">
        <v>515</v>
      </c>
      <c r="O42" t="s">
        <v>455</v>
      </c>
      <c r="P42" t="s">
        <v>455</v>
      </c>
      <c r="Q42" t="s">
        <v>455</v>
      </c>
    </row>
    <row r="43" spans="1:17" x14ac:dyDescent="0.35">
      <c r="A43" s="1">
        <v>42</v>
      </c>
      <c r="B43" t="s">
        <v>49</v>
      </c>
      <c r="C43" t="s">
        <v>229</v>
      </c>
      <c r="D43">
        <v>2023</v>
      </c>
      <c r="E43" t="s">
        <v>1224</v>
      </c>
      <c r="F43" t="s">
        <v>186</v>
      </c>
      <c r="G43" t="s">
        <v>187</v>
      </c>
      <c r="H43">
        <v>300</v>
      </c>
      <c r="J43" t="s">
        <v>355</v>
      </c>
      <c r="K43" t="s">
        <v>515</v>
      </c>
      <c r="L43" t="s">
        <v>455</v>
      </c>
      <c r="M43" t="s">
        <v>455</v>
      </c>
      <c r="N43" t="s">
        <v>455</v>
      </c>
      <c r="O43" t="s">
        <v>455</v>
      </c>
      <c r="P43" t="s">
        <v>455</v>
      </c>
      <c r="Q43" t="s">
        <v>455</v>
      </c>
    </row>
    <row r="44" spans="1:17" x14ac:dyDescent="0.35">
      <c r="A44" s="1">
        <v>43</v>
      </c>
      <c r="B44" t="s">
        <v>50</v>
      </c>
      <c r="C44" t="s">
        <v>230</v>
      </c>
      <c r="D44">
        <v>2023</v>
      </c>
      <c r="E44" t="s">
        <v>1224</v>
      </c>
      <c r="F44" t="s">
        <v>186</v>
      </c>
      <c r="G44" t="s">
        <v>187</v>
      </c>
      <c r="H44">
        <v>307</v>
      </c>
      <c r="J44" t="s">
        <v>356</v>
      </c>
      <c r="K44" t="s">
        <v>522</v>
      </c>
      <c r="L44" t="s">
        <v>523</v>
      </c>
      <c r="M44" t="s">
        <v>455</v>
      </c>
      <c r="N44" t="s">
        <v>455</v>
      </c>
      <c r="O44" t="s">
        <v>455</v>
      </c>
      <c r="P44" t="s">
        <v>455</v>
      </c>
      <c r="Q44" t="s">
        <v>455</v>
      </c>
    </row>
    <row r="45" spans="1:17" x14ac:dyDescent="0.35">
      <c r="A45" s="1">
        <v>44</v>
      </c>
      <c r="B45" t="s">
        <v>51</v>
      </c>
      <c r="C45" t="s">
        <v>231</v>
      </c>
      <c r="D45">
        <v>2023</v>
      </c>
      <c r="E45" t="s">
        <v>1224</v>
      </c>
      <c r="F45" t="s">
        <v>186</v>
      </c>
      <c r="G45" t="s">
        <v>187</v>
      </c>
      <c r="H45">
        <v>316</v>
      </c>
      <c r="J45" t="s">
        <v>357</v>
      </c>
      <c r="K45" t="s">
        <v>524</v>
      </c>
      <c r="L45" t="s">
        <v>455</v>
      </c>
      <c r="M45" t="s">
        <v>455</v>
      </c>
      <c r="N45" t="s">
        <v>455</v>
      </c>
      <c r="O45" t="s">
        <v>455</v>
      </c>
      <c r="P45" t="s">
        <v>455</v>
      </c>
      <c r="Q45" t="s">
        <v>455</v>
      </c>
    </row>
    <row r="46" spans="1:17" x14ac:dyDescent="0.35">
      <c r="A46" s="1">
        <v>45</v>
      </c>
      <c r="B46" t="s">
        <v>52</v>
      </c>
      <c r="C46" t="s">
        <v>232</v>
      </c>
      <c r="D46">
        <v>2023</v>
      </c>
      <c r="E46" t="s">
        <v>1224</v>
      </c>
      <c r="F46" t="s">
        <v>186</v>
      </c>
      <c r="G46" t="s">
        <v>187</v>
      </c>
      <c r="H46">
        <v>319</v>
      </c>
      <c r="J46" t="s">
        <v>358</v>
      </c>
      <c r="K46" t="s">
        <v>385</v>
      </c>
      <c r="L46" t="s">
        <v>525</v>
      </c>
      <c r="M46" t="s">
        <v>526</v>
      </c>
      <c r="N46" t="s">
        <v>455</v>
      </c>
      <c r="O46" t="s">
        <v>455</v>
      </c>
      <c r="P46" t="s">
        <v>455</v>
      </c>
      <c r="Q46" t="s">
        <v>455</v>
      </c>
    </row>
    <row r="47" spans="1:17" x14ac:dyDescent="0.35">
      <c r="A47" s="1">
        <v>46</v>
      </c>
      <c r="B47" t="s">
        <v>53</v>
      </c>
      <c r="C47" t="s">
        <v>233</v>
      </c>
      <c r="D47">
        <v>2023</v>
      </c>
      <c r="E47" t="s">
        <v>1224</v>
      </c>
      <c r="F47" t="s">
        <v>186</v>
      </c>
      <c r="G47" t="s">
        <v>187</v>
      </c>
      <c r="H47">
        <v>327</v>
      </c>
      <c r="J47" t="s">
        <v>359</v>
      </c>
      <c r="K47" t="s">
        <v>527</v>
      </c>
      <c r="L47" t="s">
        <v>528</v>
      </c>
      <c r="M47" t="s">
        <v>455</v>
      </c>
      <c r="N47" t="s">
        <v>455</v>
      </c>
      <c r="O47" t="s">
        <v>455</v>
      </c>
      <c r="P47" t="s">
        <v>455</v>
      </c>
      <c r="Q47" t="s">
        <v>455</v>
      </c>
    </row>
    <row r="48" spans="1:17" x14ac:dyDescent="0.35">
      <c r="A48" s="1">
        <v>47</v>
      </c>
      <c r="B48" t="s">
        <v>54</v>
      </c>
      <c r="C48" t="s">
        <v>234</v>
      </c>
      <c r="D48">
        <v>2023</v>
      </c>
      <c r="E48" t="s">
        <v>1224</v>
      </c>
      <c r="F48" t="s">
        <v>186</v>
      </c>
      <c r="G48" t="s">
        <v>187</v>
      </c>
      <c r="H48">
        <v>336</v>
      </c>
      <c r="J48" t="s">
        <v>360</v>
      </c>
      <c r="K48" t="s">
        <v>529</v>
      </c>
      <c r="L48" t="s">
        <v>530</v>
      </c>
      <c r="M48" t="s">
        <v>531</v>
      </c>
      <c r="N48" t="s">
        <v>532</v>
      </c>
      <c r="O48" t="s">
        <v>533</v>
      </c>
      <c r="P48" t="s">
        <v>534</v>
      </c>
      <c r="Q48" t="s">
        <v>455</v>
      </c>
    </row>
    <row r="49" spans="1:17" x14ac:dyDescent="0.35">
      <c r="A49" s="1">
        <v>48</v>
      </c>
      <c r="B49" t="s">
        <v>55</v>
      </c>
      <c r="C49" t="s">
        <v>235</v>
      </c>
      <c r="D49">
        <v>2023</v>
      </c>
      <c r="E49" t="s">
        <v>1224</v>
      </c>
      <c r="F49" t="s">
        <v>186</v>
      </c>
      <c r="G49" t="s">
        <v>187</v>
      </c>
      <c r="H49">
        <v>345</v>
      </c>
      <c r="J49" t="s">
        <v>361</v>
      </c>
      <c r="K49" t="s">
        <v>535</v>
      </c>
      <c r="L49" t="s">
        <v>455</v>
      </c>
      <c r="M49" t="s">
        <v>455</v>
      </c>
      <c r="N49" t="s">
        <v>455</v>
      </c>
      <c r="O49" t="s">
        <v>455</v>
      </c>
      <c r="P49" t="s">
        <v>455</v>
      </c>
      <c r="Q49" t="s">
        <v>455</v>
      </c>
    </row>
    <row r="50" spans="1:17" x14ac:dyDescent="0.35">
      <c r="A50" s="1">
        <v>49</v>
      </c>
      <c r="B50" t="s">
        <v>56</v>
      </c>
      <c r="C50" t="s">
        <v>236</v>
      </c>
      <c r="D50">
        <v>2023</v>
      </c>
      <c r="E50" t="s">
        <v>1224</v>
      </c>
      <c r="F50" t="s">
        <v>186</v>
      </c>
      <c r="G50" t="s">
        <v>187</v>
      </c>
      <c r="H50">
        <v>354</v>
      </c>
      <c r="J50" t="s">
        <v>362</v>
      </c>
      <c r="K50" t="s">
        <v>536</v>
      </c>
      <c r="L50" t="s">
        <v>429</v>
      </c>
      <c r="M50" t="s">
        <v>455</v>
      </c>
      <c r="N50" t="s">
        <v>455</v>
      </c>
      <c r="O50" t="s">
        <v>455</v>
      </c>
      <c r="P50" t="s">
        <v>455</v>
      </c>
      <c r="Q50" t="s">
        <v>455</v>
      </c>
    </row>
    <row r="51" spans="1:17" x14ac:dyDescent="0.35">
      <c r="A51" s="1">
        <v>50</v>
      </c>
      <c r="B51" t="s">
        <v>57</v>
      </c>
      <c r="C51" t="s">
        <v>237</v>
      </c>
      <c r="D51">
        <v>2023</v>
      </c>
      <c r="E51" t="s">
        <v>1224</v>
      </c>
      <c r="F51" t="s">
        <v>186</v>
      </c>
      <c r="G51" t="s">
        <v>187</v>
      </c>
      <c r="H51">
        <v>357</v>
      </c>
      <c r="J51" t="s">
        <v>363</v>
      </c>
      <c r="K51" t="s">
        <v>488</v>
      </c>
      <c r="L51" t="s">
        <v>455</v>
      </c>
      <c r="M51" t="s">
        <v>455</v>
      </c>
      <c r="N51" t="s">
        <v>455</v>
      </c>
      <c r="O51" t="s">
        <v>455</v>
      </c>
      <c r="P51" t="s">
        <v>455</v>
      </c>
      <c r="Q51" t="s">
        <v>455</v>
      </c>
    </row>
    <row r="52" spans="1:17" x14ac:dyDescent="0.35">
      <c r="A52" s="1">
        <v>51</v>
      </c>
      <c r="B52" t="s">
        <v>58</v>
      </c>
      <c r="C52" t="s">
        <v>238</v>
      </c>
      <c r="D52">
        <v>2023</v>
      </c>
      <c r="E52" t="s">
        <v>1224</v>
      </c>
      <c r="F52" t="s">
        <v>186</v>
      </c>
      <c r="G52" t="s">
        <v>187</v>
      </c>
      <c r="H52">
        <v>365</v>
      </c>
      <c r="J52" t="s">
        <v>364</v>
      </c>
      <c r="K52" t="s">
        <v>357</v>
      </c>
      <c r="L52" t="s">
        <v>455</v>
      </c>
      <c r="M52" t="s">
        <v>455</v>
      </c>
      <c r="N52" t="s">
        <v>455</v>
      </c>
      <c r="O52" t="s">
        <v>455</v>
      </c>
      <c r="P52" t="s">
        <v>455</v>
      </c>
      <c r="Q52" t="s">
        <v>455</v>
      </c>
    </row>
    <row r="53" spans="1:17" x14ac:dyDescent="0.35">
      <c r="A53" s="1">
        <v>52</v>
      </c>
      <c r="B53" t="s">
        <v>59</v>
      </c>
      <c r="C53" t="s">
        <v>239</v>
      </c>
      <c r="D53">
        <v>2023</v>
      </c>
      <c r="E53" t="s">
        <v>1224</v>
      </c>
      <c r="F53" t="s">
        <v>186</v>
      </c>
      <c r="G53" t="s">
        <v>187</v>
      </c>
      <c r="H53">
        <v>368</v>
      </c>
      <c r="J53" t="s">
        <v>365</v>
      </c>
      <c r="K53" t="s">
        <v>494</v>
      </c>
      <c r="L53" t="s">
        <v>336</v>
      </c>
      <c r="M53" t="s">
        <v>455</v>
      </c>
      <c r="N53" t="s">
        <v>455</v>
      </c>
      <c r="O53" t="s">
        <v>455</v>
      </c>
      <c r="P53" t="s">
        <v>455</v>
      </c>
      <c r="Q53" t="s">
        <v>455</v>
      </c>
    </row>
    <row r="54" spans="1:17" x14ac:dyDescent="0.35">
      <c r="A54" s="1">
        <v>53</v>
      </c>
      <c r="B54" t="s">
        <v>60</v>
      </c>
      <c r="C54" t="s">
        <v>240</v>
      </c>
      <c r="D54">
        <v>2023</v>
      </c>
      <c r="E54" t="s">
        <v>1224</v>
      </c>
      <c r="F54" t="s">
        <v>186</v>
      </c>
      <c r="G54" t="s">
        <v>187</v>
      </c>
      <c r="H54">
        <v>377</v>
      </c>
      <c r="J54" t="s">
        <v>366</v>
      </c>
      <c r="K54" t="s">
        <v>176</v>
      </c>
      <c r="L54" t="s">
        <v>349</v>
      </c>
      <c r="M54" t="s">
        <v>455</v>
      </c>
      <c r="N54" t="s">
        <v>455</v>
      </c>
      <c r="O54" t="s">
        <v>455</v>
      </c>
      <c r="P54" t="s">
        <v>455</v>
      </c>
      <c r="Q54" t="s">
        <v>455</v>
      </c>
    </row>
    <row r="55" spans="1:17" x14ac:dyDescent="0.35">
      <c r="A55" s="1">
        <v>54</v>
      </c>
      <c r="B55" t="s">
        <v>61</v>
      </c>
      <c r="C55" t="s">
        <v>241</v>
      </c>
      <c r="D55">
        <v>2023</v>
      </c>
      <c r="E55" t="s">
        <v>1224</v>
      </c>
      <c r="F55" t="s">
        <v>186</v>
      </c>
      <c r="G55" t="s">
        <v>187</v>
      </c>
      <c r="H55">
        <v>386</v>
      </c>
      <c r="J55" t="s">
        <v>367</v>
      </c>
      <c r="K55" t="s">
        <v>479</v>
      </c>
      <c r="L55" t="s">
        <v>537</v>
      </c>
      <c r="M55" t="s">
        <v>455</v>
      </c>
      <c r="N55" t="s">
        <v>455</v>
      </c>
      <c r="O55" t="s">
        <v>455</v>
      </c>
      <c r="P55" t="s">
        <v>455</v>
      </c>
      <c r="Q55" t="s">
        <v>455</v>
      </c>
    </row>
    <row r="56" spans="1:17" x14ac:dyDescent="0.35">
      <c r="A56" s="1">
        <v>55</v>
      </c>
      <c r="B56" t="s">
        <v>62</v>
      </c>
      <c r="C56" t="s">
        <v>242</v>
      </c>
      <c r="D56">
        <v>2023</v>
      </c>
      <c r="E56" t="s">
        <v>1224</v>
      </c>
      <c r="F56" t="s">
        <v>186</v>
      </c>
      <c r="G56" t="s">
        <v>187</v>
      </c>
      <c r="H56">
        <v>395</v>
      </c>
      <c r="J56" t="s">
        <v>368</v>
      </c>
      <c r="K56" t="s">
        <v>538</v>
      </c>
      <c r="L56" t="s">
        <v>539</v>
      </c>
      <c r="M56" t="s">
        <v>540</v>
      </c>
      <c r="N56" t="s">
        <v>541</v>
      </c>
      <c r="O56" t="s">
        <v>455</v>
      </c>
      <c r="P56" t="s">
        <v>455</v>
      </c>
      <c r="Q56" t="s">
        <v>455</v>
      </c>
    </row>
    <row r="57" spans="1:17" x14ac:dyDescent="0.35">
      <c r="A57" s="1">
        <v>56</v>
      </c>
      <c r="B57" t="s">
        <v>63</v>
      </c>
      <c r="C57" t="s">
        <v>243</v>
      </c>
      <c r="D57">
        <v>2023</v>
      </c>
      <c r="E57" t="s">
        <v>1224</v>
      </c>
      <c r="F57" t="s">
        <v>186</v>
      </c>
      <c r="G57" t="s">
        <v>187</v>
      </c>
      <c r="H57">
        <v>404</v>
      </c>
      <c r="J57" t="s">
        <v>369</v>
      </c>
      <c r="K57" t="s">
        <v>542</v>
      </c>
      <c r="L57" t="s">
        <v>543</v>
      </c>
      <c r="M57" t="s">
        <v>455</v>
      </c>
      <c r="N57" t="s">
        <v>455</v>
      </c>
      <c r="O57" t="s">
        <v>455</v>
      </c>
      <c r="P57" t="s">
        <v>455</v>
      </c>
      <c r="Q57" t="s">
        <v>455</v>
      </c>
    </row>
    <row r="58" spans="1:17" x14ac:dyDescent="0.35">
      <c r="A58" s="1">
        <v>57</v>
      </c>
      <c r="B58" t="s">
        <v>64</v>
      </c>
      <c r="C58" t="s">
        <v>244</v>
      </c>
      <c r="D58">
        <v>2023</v>
      </c>
      <c r="E58" t="s">
        <v>1224</v>
      </c>
      <c r="F58" t="s">
        <v>186</v>
      </c>
      <c r="G58" t="s">
        <v>187</v>
      </c>
      <c r="H58">
        <v>407</v>
      </c>
      <c r="J58" t="s">
        <v>370</v>
      </c>
      <c r="K58" t="s">
        <v>544</v>
      </c>
      <c r="L58" t="s">
        <v>545</v>
      </c>
      <c r="M58" t="s">
        <v>546</v>
      </c>
      <c r="N58" t="s">
        <v>455</v>
      </c>
      <c r="O58" t="s">
        <v>455</v>
      </c>
      <c r="P58" t="s">
        <v>455</v>
      </c>
      <c r="Q58" t="s">
        <v>455</v>
      </c>
    </row>
    <row r="59" spans="1:17" x14ac:dyDescent="0.35">
      <c r="A59" s="1">
        <v>58</v>
      </c>
      <c r="B59" t="s">
        <v>65</v>
      </c>
      <c r="C59" t="s">
        <v>245</v>
      </c>
      <c r="D59">
        <v>2023</v>
      </c>
      <c r="E59" t="s">
        <v>1224</v>
      </c>
      <c r="F59" t="s">
        <v>186</v>
      </c>
      <c r="G59" t="s">
        <v>187</v>
      </c>
      <c r="H59">
        <v>410</v>
      </c>
      <c r="J59" t="s">
        <v>371</v>
      </c>
      <c r="K59" t="s">
        <v>337</v>
      </c>
      <c r="L59" t="s">
        <v>547</v>
      </c>
      <c r="M59" t="s">
        <v>548</v>
      </c>
      <c r="N59" t="s">
        <v>495</v>
      </c>
      <c r="O59" t="s">
        <v>455</v>
      </c>
      <c r="P59" t="s">
        <v>455</v>
      </c>
      <c r="Q59" t="s">
        <v>455</v>
      </c>
    </row>
    <row r="60" spans="1:17" x14ac:dyDescent="0.35">
      <c r="A60" s="1">
        <v>59</v>
      </c>
      <c r="B60" t="s">
        <v>66</v>
      </c>
      <c r="C60" t="s">
        <v>246</v>
      </c>
      <c r="D60">
        <v>2023</v>
      </c>
      <c r="E60" t="s">
        <v>1224</v>
      </c>
      <c r="F60" t="s">
        <v>186</v>
      </c>
      <c r="G60" t="s">
        <v>187</v>
      </c>
      <c r="H60">
        <v>420</v>
      </c>
      <c r="J60" t="s">
        <v>372</v>
      </c>
      <c r="K60" t="s">
        <v>549</v>
      </c>
      <c r="L60" t="s">
        <v>455</v>
      </c>
      <c r="M60" t="s">
        <v>455</v>
      </c>
      <c r="N60" t="s">
        <v>455</v>
      </c>
      <c r="O60" t="s">
        <v>455</v>
      </c>
      <c r="P60" t="s">
        <v>455</v>
      </c>
      <c r="Q60" t="s">
        <v>455</v>
      </c>
    </row>
    <row r="61" spans="1:17" x14ac:dyDescent="0.35">
      <c r="A61" s="1">
        <v>60</v>
      </c>
      <c r="B61" t="s">
        <v>67</v>
      </c>
      <c r="C61" t="s">
        <v>241</v>
      </c>
      <c r="D61">
        <v>2023</v>
      </c>
      <c r="E61" t="s">
        <v>1224</v>
      </c>
      <c r="F61" t="s">
        <v>186</v>
      </c>
      <c r="G61" t="s">
        <v>187</v>
      </c>
      <c r="H61">
        <v>430</v>
      </c>
      <c r="J61" t="s">
        <v>367</v>
      </c>
      <c r="K61" t="s">
        <v>479</v>
      </c>
      <c r="L61" t="s">
        <v>537</v>
      </c>
      <c r="M61" t="s">
        <v>455</v>
      </c>
      <c r="N61" t="s">
        <v>455</v>
      </c>
      <c r="O61" t="s">
        <v>455</v>
      </c>
      <c r="P61" t="s">
        <v>455</v>
      </c>
      <c r="Q61" t="s">
        <v>455</v>
      </c>
    </row>
    <row r="62" spans="1:17" x14ac:dyDescent="0.35">
      <c r="A62" s="1">
        <v>61</v>
      </c>
      <c r="B62" t="s">
        <v>68</v>
      </c>
      <c r="C62" t="s">
        <v>247</v>
      </c>
      <c r="D62">
        <v>2023</v>
      </c>
      <c r="E62" t="s">
        <v>1224</v>
      </c>
      <c r="F62" t="s">
        <v>186</v>
      </c>
      <c r="G62" t="s">
        <v>187</v>
      </c>
      <c r="H62">
        <v>439</v>
      </c>
      <c r="J62" t="s">
        <v>373</v>
      </c>
      <c r="K62" t="s">
        <v>550</v>
      </c>
      <c r="L62" t="s">
        <v>455</v>
      </c>
      <c r="M62" t="s">
        <v>455</v>
      </c>
      <c r="N62" t="s">
        <v>455</v>
      </c>
      <c r="O62" t="s">
        <v>455</v>
      </c>
      <c r="P62" t="s">
        <v>455</v>
      </c>
      <c r="Q62" t="s">
        <v>455</v>
      </c>
    </row>
    <row r="63" spans="1:17" x14ac:dyDescent="0.35">
      <c r="A63" s="1">
        <v>62</v>
      </c>
      <c r="B63" t="s">
        <v>69</v>
      </c>
      <c r="C63" t="s">
        <v>248</v>
      </c>
      <c r="D63">
        <v>2023</v>
      </c>
      <c r="E63" t="s">
        <v>1224</v>
      </c>
      <c r="F63" t="s">
        <v>186</v>
      </c>
      <c r="G63" t="s">
        <v>187</v>
      </c>
      <c r="H63">
        <v>447</v>
      </c>
      <c r="J63" t="s">
        <v>374</v>
      </c>
      <c r="K63" t="s">
        <v>551</v>
      </c>
      <c r="L63" t="s">
        <v>455</v>
      </c>
      <c r="M63" t="s">
        <v>455</v>
      </c>
      <c r="N63" t="s">
        <v>455</v>
      </c>
      <c r="O63" t="s">
        <v>455</v>
      </c>
      <c r="P63" t="s">
        <v>455</v>
      </c>
      <c r="Q63" t="s">
        <v>455</v>
      </c>
    </row>
    <row r="64" spans="1:17" x14ac:dyDescent="0.35">
      <c r="A64" s="1">
        <v>63</v>
      </c>
      <c r="B64" t="s">
        <v>70</v>
      </c>
      <c r="C64" t="s">
        <v>249</v>
      </c>
      <c r="D64">
        <v>2023</v>
      </c>
      <c r="E64" t="s">
        <v>1224</v>
      </c>
      <c r="F64" t="s">
        <v>186</v>
      </c>
      <c r="G64" t="s">
        <v>187</v>
      </c>
      <c r="H64">
        <v>457</v>
      </c>
      <c r="J64" t="s">
        <v>375</v>
      </c>
      <c r="K64" t="s">
        <v>552</v>
      </c>
      <c r="L64" t="s">
        <v>553</v>
      </c>
      <c r="M64" t="s">
        <v>455</v>
      </c>
      <c r="N64" t="s">
        <v>455</v>
      </c>
      <c r="O64" t="s">
        <v>455</v>
      </c>
      <c r="P64" t="s">
        <v>455</v>
      </c>
      <c r="Q64" t="s">
        <v>455</v>
      </c>
    </row>
    <row r="65" spans="1:17" x14ac:dyDescent="0.35">
      <c r="A65" s="1">
        <v>64</v>
      </c>
      <c r="B65" t="s">
        <v>71</v>
      </c>
      <c r="C65" t="s">
        <v>250</v>
      </c>
      <c r="D65">
        <v>2023</v>
      </c>
      <c r="E65" t="s">
        <v>1224</v>
      </c>
      <c r="F65" t="s">
        <v>186</v>
      </c>
      <c r="G65" t="s">
        <v>187</v>
      </c>
      <c r="H65">
        <v>466</v>
      </c>
      <c r="J65" t="s">
        <v>376</v>
      </c>
      <c r="K65" t="s">
        <v>554</v>
      </c>
      <c r="L65" t="s">
        <v>555</v>
      </c>
      <c r="M65" t="s">
        <v>362</v>
      </c>
      <c r="N65" t="s">
        <v>556</v>
      </c>
      <c r="O65" t="s">
        <v>557</v>
      </c>
      <c r="P65" t="s">
        <v>455</v>
      </c>
      <c r="Q65" t="s">
        <v>455</v>
      </c>
    </row>
    <row r="66" spans="1:17" x14ac:dyDescent="0.35">
      <c r="A66" s="1">
        <v>65</v>
      </c>
      <c r="B66" t="s">
        <v>72</v>
      </c>
      <c r="C66" t="s">
        <v>251</v>
      </c>
      <c r="D66">
        <v>2023</v>
      </c>
      <c r="E66" t="s">
        <v>1224</v>
      </c>
      <c r="F66" t="s">
        <v>186</v>
      </c>
      <c r="G66" t="s">
        <v>187</v>
      </c>
      <c r="H66">
        <v>475</v>
      </c>
      <c r="J66" t="s">
        <v>377</v>
      </c>
      <c r="K66" t="s">
        <v>411</v>
      </c>
      <c r="L66" t="s">
        <v>558</v>
      </c>
      <c r="M66" t="s">
        <v>455</v>
      </c>
      <c r="N66" t="s">
        <v>455</v>
      </c>
      <c r="O66" t="s">
        <v>455</v>
      </c>
      <c r="P66" t="s">
        <v>455</v>
      </c>
      <c r="Q66" t="s">
        <v>455</v>
      </c>
    </row>
    <row r="67" spans="1:17" x14ac:dyDescent="0.35">
      <c r="A67" s="1">
        <v>66</v>
      </c>
      <c r="B67" t="s">
        <v>73</v>
      </c>
      <c r="C67" t="s">
        <v>252</v>
      </c>
      <c r="D67">
        <v>2023</v>
      </c>
      <c r="E67" t="s">
        <v>1224</v>
      </c>
      <c r="F67" t="s">
        <v>186</v>
      </c>
      <c r="G67" t="s">
        <v>187</v>
      </c>
      <c r="H67">
        <v>478</v>
      </c>
      <c r="J67" t="s">
        <v>378</v>
      </c>
      <c r="K67" t="s">
        <v>559</v>
      </c>
      <c r="L67" t="s">
        <v>560</v>
      </c>
      <c r="M67" t="s">
        <v>455</v>
      </c>
      <c r="N67" t="s">
        <v>455</v>
      </c>
      <c r="O67" t="s">
        <v>455</v>
      </c>
      <c r="P67" t="s">
        <v>455</v>
      </c>
      <c r="Q67" t="s">
        <v>455</v>
      </c>
    </row>
    <row r="68" spans="1:17" x14ac:dyDescent="0.35">
      <c r="A68" s="1">
        <v>67</v>
      </c>
      <c r="B68" t="s">
        <v>74</v>
      </c>
      <c r="C68" t="s">
        <v>253</v>
      </c>
      <c r="D68">
        <v>2023</v>
      </c>
      <c r="E68" t="s">
        <v>1224</v>
      </c>
      <c r="F68" t="s">
        <v>186</v>
      </c>
      <c r="G68" t="s">
        <v>187</v>
      </c>
      <c r="H68">
        <v>481</v>
      </c>
      <c r="J68" t="s">
        <v>379</v>
      </c>
      <c r="K68" t="s">
        <v>561</v>
      </c>
      <c r="L68" t="s">
        <v>455</v>
      </c>
      <c r="M68" t="s">
        <v>455</v>
      </c>
      <c r="N68" t="s">
        <v>455</v>
      </c>
      <c r="O68" t="s">
        <v>455</v>
      </c>
      <c r="P68" t="s">
        <v>455</v>
      </c>
      <c r="Q68" t="s">
        <v>455</v>
      </c>
    </row>
    <row r="69" spans="1:17" x14ac:dyDescent="0.35">
      <c r="A69" s="1">
        <v>68</v>
      </c>
      <c r="B69" t="s">
        <v>75</v>
      </c>
      <c r="C69" t="s">
        <v>254</v>
      </c>
      <c r="D69">
        <v>2023</v>
      </c>
      <c r="E69" t="s">
        <v>1224</v>
      </c>
      <c r="F69" t="s">
        <v>186</v>
      </c>
      <c r="G69" t="s">
        <v>187</v>
      </c>
      <c r="H69">
        <v>484</v>
      </c>
      <c r="J69" t="s">
        <v>380</v>
      </c>
      <c r="K69" t="s">
        <v>562</v>
      </c>
      <c r="L69" t="s">
        <v>455</v>
      </c>
      <c r="M69" t="s">
        <v>455</v>
      </c>
      <c r="N69" t="s">
        <v>455</v>
      </c>
      <c r="O69" t="s">
        <v>455</v>
      </c>
      <c r="P69" t="s">
        <v>455</v>
      </c>
      <c r="Q69" t="s">
        <v>455</v>
      </c>
    </row>
    <row r="70" spans="1:17" x14ac:dyDescent="0.35">
      <c r="A70" s="1">
        <v>69</v>
      </c>
      <c r="B70" t="s">
        <v>76</v>
      </c>
      <c r="C70" t="s">
        <v>255</v>
      </c>
      <c r="D70">
        <v>2023</v>
      </c>
      <c r="E70" t="s">
        <v>1224</v>
      </c>
      <c r="F70" t="s">
        <v>186</v>
      </c>
      <c r="G70" t="s">
        <v>187</v>
      </c>
      <c r="H70">
        <v>487</v>
      </c>
      <c r="J70" t="s">
        <v>381</v>
      </c>
      <c r="K70" t="s">
        <v>563</v>
      </c>
      <c r="L70" t="s">
        <v>564</v>
      </c>
      <c r="M70" t="s">
        <v>565</v>
      </c>
      <c r="N70" t="s">
        <v>566</v>
      </c>
      <c r="O70" t="s">
        <v>455</v>
      </c>
      <c r="P70" t="s">
        <v>455</v>
      </c>
      <c r="Q70" t="s">
        <v>455</v>
      </c>
    </row>
    <row r="71" spans="1:17" x14ac:dyDescent="0.35">
      <c r="A71" s="1">
        <v>70</v>
      </c>
      <c r="B71" t="s">
        <v>77</v>
      </c>
      <c r="C71" t="s">
        <v>256</v>
      </c>
      <c r="D71">
        <v>2023</v>
      </c>
      <c r="E71" t="s">
        <v>1224</v>
      </c>
      <c r="F71" t="s">
        <v>186</v>
      </c>
      <c r="G71" t="s">
        <v>187</v>
      </c>
      <c r="H71">
        <v>496</v>
      </c>
      <c r="J71" t="s">
        <v>382</v>
      </c>
      <c r="K71" t="s">
        <v>567</v>
      </c>
      <c r="L71" t="s">
        <v>455</v>
      </c>
      <c r="M71" t="s">
        <v>455</v>
      </c>
      <c r="N71" t="s">
        <v>455</v>
      </c>
      <c r="O71" t="s">
        <v>455</v>
      </c>
      <c r="P71" t="s">
        <v>455</v>
      </c>
      <c r="Q71" t="s">
        <v>455</v>
      </c>
    </row>
    <row r="72" spans="1:17" x14ac:dyDescent="0.35">
      <c r="A72" s="1">
        <v>71</v>
      </c>
      <c r="B72" t="s">
        <v>78</v>
      </c>
      <c r="C72" t="s">
        <v>257</v>
      </c>
      <c r="D72">
        <v>2023</v>
      </c>
      <c r="E72" t="s">
        <v>1224</v>
      </c>
      <c r="F72" t="s">
        <v>186</v>
      </c>
      <c r="G72" t="s">
        <v>187</v>
      </c>
      <c r="H72">
        <v>505</v>
      </c>
      <c r="J72" t="s">
        <v>383</v>
      </c>
      <c r="K72" t="s">
        <v>568</v>
      </c>
      <c r="L72" t="s">
        <v>390</v>
      </c>
      <c r="M72" t="s">
        <v>569</v>
      </c>
      <c r="N72" t="s">
        <v>455</v>
      </c>
      <c r="O72" t="s">
        <v>455</v>
      </c>
      <c r="P72" t="s">
        <v>455</v>
      </c>
      <c r="Q72" t="s">
        <v>455</v>
      </c>
    </row>
    <row r="73" spans="1:17" x14ac:dyDescent="0.35">
      <c r="A73" s="1">
        <v>72</v>
      </c>
      <c r="B73" t="s">
        <v>79</v>
      </c>
      <c r="C73" t="s">
        <v>258</v>
      </c>
      <c r="D73">
        <v>2023</v>
      </c>
      <c r="E73" t="s">
        <v>1224</v>
      </c>
      <c r="F73" t="s">
        <v>186</v>
      </c>
      <c r="G73" t="s">
        <v>187</v>
      </c>
      <c r="H73">
        <v>514</v>
      </c>
      <c r="J73" t="s">
        <v>384</v>
      </c>
      <c r="K73" t="s">
        <v>388</v>
      </c>
      <c r="L73" t="s">
        <v>570</v>
      </c>
      <c r="M73" t="s">
        <v>571</v>
      </c>
      <c r="N73" t="s">
        <v>455</v>
      </c>
      <c r="O73" t="s">
        <v>455</v>
      </c>
      <c r="P73" t="s">
        <v>455</v>
      </c>
      <c r="Q73" t="s">
        <v>455</v>
      </c>
    </row>
    <row r="74" spans="1:17" x14ac:dyDescent="0.35">
      <c r="A74" s="1">
        <v>73</v>
      </c>
      <c r="B74" t="s">
        <v>80</v>
      </c>
      <c r="C74" t="s">
        <v>259</v>
      </c>
      <c r="D74">
        <v>2023</v>
      </c>
      <c r="E74" t="s">
        <v>1224</v>
      </c>
      <c r="F74" t="s">
        <v>186</v>
      </c>
      <c r="G74" t="s">
        <v>187</v>
      </c>
      <c r="H74">
        <v>524</v>
      </c>
      <c r="J74" t="s">
        <v>385</v>
      </c>
      <c r="K74" t="s">
        <v>525</v>
      </c>
      <c r="L74" t="s">
        <v>526</v>
      </c>
      <c r="M74" t="s">
        <v>455</v>
      </c>
      <c r="N74" t="s">
        <v>455</v>
      </c>
      <c r="O74" t="s">
        <v>455</v>
      </c>
      <c r="P74" t="s">
        <v>455</v>
      </c>
      <c r="Q74" t="s">
        <v>455</v>
      </c>
    </row>
    <row r="75" spans="1:17" x14ac:dyDescent="0.35">
      <c r="A75" s="1">
        <v>74</v>
      </c>
      <c r="B75" t="s">
        <v>81</v>
      </c>
      <c r="C75" t="s">
        <v>260</v>
      </c>
      <c r="D75">
        <v>2023</v>
      </c>
      <c r="E75" t="s">
        <v>1224</v>
      </c>
      <c r="F75" t="s">
        <v>186</v>
      </c>
      <c r="G75" t="s">
        <v>187</v>
      </c>
      <c r="H75">
        <v>533</v>
      </c>
      <c r="J75" t="s">
        <v>386</v>
      </c>
      <c r="K75" t="s">
        <v>572</v>
      </c>
      <c r="L75" t="s">
        <v>573</v>
      </c>
      <c r="M75" t="s">
        <v>574</v>
      </c>
      <c r="N75" t="s">
        <v>455</v>
      </c>
      <c r="O75" t="s">
        <v>455</v>
      </c>
      <c r="P75" t="s">
        <v>455</v>
      </c>
      <c r="Q75" t="s">
        <v>455</v>
      </c>
    </row>
    <row r="76" spans="1:17" x14ac:dyDescent="0.35">
      <c r="A76" s="1">
        <v>75</v>
      </c>
      <c r="B76" t="s">
        <v>82</v>
      </c>
      <c r="C76" t="s">
        <v>261</v>
      </c>
      <c r="D76">
        <v>2023</v>
      </c>
      <c r="E76" t="s">
        <v>1224</v>
      </c>
      <c r="F76" t="s">
        <v>186</v>
      </c>
      <c r="G76" t="s">
        <v>187</v>
      </c>
      <c r="H76">
        <v>542</v>
      </c>
      <c r="J76" t="s">
        <v>387</v>
      </c>
      <c r="K76" t="s">
        <v>411</v>
      </c>
      <c r="L76" t="s">
        <v>575</v>
      </c>
      <c r="M76" t="s">
        <v>576</v>
      </c>
      <c r="N76" t="s">
        <v>558</v>
      </c>
      <c r="O76" t="s">
        <v>455</v>
      </c>
      <c r="P76" t="s">
        <v>455</v>
      </c>
      <c r="Q76" t="s">
        <v>455</v>
      </c>
    </row>
    <row r="77" spans="1:17" x14ac:dyDescent="0.35">
      <c r="A77" s="1">
        <v>76</v>
      </c>
      <c r="B77" t="s">
        <v>83</v>
      </c>
      <c r="C77" t="s">
        <v>168</v>
      </c>
      <c r="D77">
        <v>2023</v>
      </c>
      <c r="E77" t="s">
        <v>1224</v>
      </c>
      <c r="F77" t="s">
        <v>186</v>
      </c>
      <c r="G77" t="s">
        <v>187</v>
      </c>
      <c r="H77">
        <v>550</v>
      </c>
      <c r="J77" t="s">
        <v>168</v>
      </c>
      <c r="K77" t="s">
        <v>455</v>
      </c>
      <c r="L77" t="s">
        <v>455</v>
      </c>
      <c r="M77" t="s">
        <v>455</v>
      </c>
      <c r="N77" t="s">
        <v>455</v>
      </c>
      <c r="O77" t="s">
        <v>455</v>
      </c>
      <c r="P77" t="s">
        <v>455</v>
      </c>
      <c r="Q77" t="s">
        <v>455</v>
      </c>
    </row>
    <row r="78" spans="1:17" x14ac:dyDescent="0.35">
      <c r="A78" s="1">
        <v>77</v>
      </c>
      <c r="B78" t="s">
        <v>84</v>
      </c>
      <c r="C78" t="s">
        <v>262</v>
      </c>
      <c r="D78">
        <v>2023</v>
      </c>
      <c r="E78" t="s">
        <v>1224</v>
      </c>
      <c r="F78" t="s">
        <v>186</v>
      </c>
      <c r="G78" t="s">
        <v>187</v>
      </c>
      <c r="H78">
        <v>559</v>
      </c>
      <c r="J78" t="s">
        <v>388</v>
      </c>
      <c r="K78" t="s">
        <v>384</v>
      </c>
      <c r="L78" t="s">
        <v>570</v>
      </c>
      <c r="M78" t="s">
        <v>571</v>
      </c>
      <c r="N78" t="s">
        <v>455</v>
      </c>
      <c r="O78" t="s">
        <v>455</v>
      </c>
      <c r="P78" t="s">
        <v>455</v>
      </c>
      <c r="Q78" t="s">
        <v>455</v>
      </c>
    </row>
    <row r="79" spans="1:17" x14ac:dyDescent="0.35">
      <c r="A79" s="1">
        <v>78</v>
      </c>
      <c r="B79" t="s">
        <v>85</v>
      </c>
      <c r="C79" t="s">
        <v>263</v>
      </c>
      <c r="D79">
        <v>2023</v>
      </c>
      <c r="E79" t="s">
        <v>1224</v>
      </c>
      <c r="F79" t="s">
        <v>186</v>
      </c>
      <c r="G79" t="s">
        <v>187</v>
      </c>
      <c r="H79">
        <v>568</v>
      </c>
      <c r="J79" t="s">
        <v>389</v>
      </c>
      <c r="K79" t="s">
        <v>571</v>
      </c>
      <c r="L79" t="s">
        <v>577</v>
      </c>
      <c r="M79" t="s">
        <v>455</v>
      </c>
      <c r="N79" t="s">
        <v>455</v>
      </c>
      <c r="O79" t="s">
        <v>455</v>
      </c>
      <c r="P79" t="s">
        <v>455</v>
      </c>
      <c r="Q79" t="s">
        <v>455</v>
      </c>
    </row>
    <row r="80" spans="1:17" x14ac:dyDescent="0.35">
      <c r="A80" s="1">
        <v>79</v>
      </c>
      <c r="B80" t="s">
        <v>86</v>
      </c>
      <c r="C80" t="s">
        <v>264</v>
      </c>
      <c r="D80">
        <v>2023</v>
      </c>
      <c r="E80" t="s">
        <v>1224</v>
      </c>
      <c r="F80" t="s">
        <v>186</v>
      </c>
      <c r="G80" t="s">
        <v>187</v>
      </c>
      <c r="H80">
        <v>578</v>
      </c>
      <c r="J80" t="s">
        <v>390</v>
      </c>
      <c r="K80" t="s">
        <v>568</v>
      </c>
      <c r="L80" t="s">
        <v>569</v>
      </c>
      <c r="M80" t="s">
        <v>455</v>
      </c>
      <c r="N80" t="s">
        <v>455</v>
      </c>
      <c r="O80" t="s">
        <v>455</v>
      </c>
      <c r="P80" t="s">
        <v>455</v>
      </c>
      <c r="Q80" t="s">
        <v>455</v>
      </c>
    </row>
    <row r="81" spans="1:17" x14ac:dyDescent="0.35">
      <c r="A81" s="1">
        <v>80</v>
      </c>
      <c r="B81" t="s">
        <v>87</v>
      </c>
      <c r="C81" t="s">
        <v>169</v>
      </c>
      <c r="D81">
        <v>2023</v>
      </c>
      <c r="E81" t="s">
        <v>1224</v>
      </c>
      <c r="F81" t="s">
        <v>186</v>
      </c>
      <c r="G81" t="s">
        <v>187</v>
      </c>
      <c r="H81">
        <v>588</v>
      </c>
      <c r="J81" t="s">
        <v>169</v>
      </c>
      <c r="K81" t="s">
        <v>455</v>
      </c>
      <c r="L81" t="s">
        <v>455</v>
      </c>
      <c r="M81" t="s">
        <v>455</v>
      </c>
      <c r="N81" t="s">
        <v>455</v>
      </c>
      <c r="O81" t="s">
        <v>455</v>
      </c>
      <c r="P81" t="s">
        <v>455</v>
      </c>
      <c r="Q81" t="s">
        <v>455</v>
      </c>
    </row>
    <row r="82" spans="1:17" x14ac:dyDescent="0.35">
      <c r="A82" s="1">
        <v>81</v>
      </c>
      <c r="B82" t="s">
        <v>88</v>
      </c>
      <c r="C82" t="s">
        <v>265</v>
      </c>
      <c r="D82">
        <v>2023</v>
      </c>
      <c r="E82" t="s">
        <v>1224</v>
      </c>
      <c r="F82" t="s">
        <v>186</v>
      </c>
      <c r="G82" t="s">
        <v>187</v>
      </c>
      <c r="H82">
        <v>597</v>
      </c>
      <c r="J82" t="s">
        <v>391</v>
      </c>
      <c r="K82" t="s">
        <v>578</v>
      </c>
      <c r="L82" t="s">
        <v>455</v>
      </c>
      <c r="M82" t="s">
        <v>455</v>
      </c>
      <c r="N82" t="s">
        <v>455</v>
      </c>
      <c r="O82" t="s">
        <v>455</v>
      </c>
      <c r="P82" t="s">
        <v>455</v>
      </c>
      <c r="Q82" t="s">
        <v>455</v>
      </c>
    </row>
    <row r="83" spans="1:17" x14ac:dyDescent="0.35">
      <c r="A83" s="1">
        <v>82</v>
      </c>
      <c r="B83" t="s">
        <v>89</v>
      </c>
      <c r="C83" t="s">
        <v>170</v>
      </c>
      <c r="D83">
        <v>2023</v>
      </c>
      <c r="E83" t="s">
        <v>1224</v>
      </c>
      <c r="F83" t="s">
        <v>186</v>
      </c>
      <c r="G83" t="s">
        <v>188</v>
      </c>
      <c r="H83">
        <v>600</v>
      </c>
      <c r="J83" t="s">
        <v>170</v>
      </c>
      <c r="K83" t="s">
        <v>455</v>
      </c>
      <c r="L83" t="s">
        <v>455</v>
      </c>
      <c r="M83" t="s">
        <v>455</v>
      </c>
      <c r="N83" t="s">
        <v>455</v>
      </c>
      <c r="O83" t="s">
        <v>455</v>
      </c>
      <c r="P83" t="s">
        <v>455</v>
      </c>
      <c r="Q83" t="s">
        <v>455</v>
      </c>
    </row>
    <row r="84" spans="1:17" x14ac:dyDescent="0.35">
      <c r="A84" s="1">
        <v>83</v>
      </c>
      <c r="B84" t="s">
        <v>90</v>
      </c>
      <c r="C84" t="s">
        <v>171</v>
      </c>
      <c r="D84">
        <v>2023</v>
      </c>
      <c r="E84" t="s">
        <v>1224</v>
      </c>
      <c r="F84" t="s">
        <v>186</v>
      </c>
      <c r="G84" t="s">
        <v>188</v>
      </c>
      <c r="H84">
        <v>604</v>
      </c>
      <c r="J84" t="s">
        <v>171</v>
      </c>
      <c r="K84" t="s">
        <v>455</v>
      </c>
      <c r="L84" t="s">
        <v>455</v>
      </c>
      <c r="M84" t="s">
        <v>455</v>
      </c>
      <c r="N84" t="s">
        <v>455</v>
      </c>
      <c r="O84" t="s">
        <v>455</v>
      </c>
      <c r="P84" t="s">
        <v>455</v>
      </c>
      <c r="Q84" t="s">
        <v>455</v>
      </c>
    </row>
    <row r="85" spans="1:17" x14ac:dyDescent="0.35">
      <c r="A85" s="1">
        <v>84</v>
      </c>
      <c r="B85" t="s">
        <v>91</v>
      </c>
      <c r="C85" t="s">
        <v>172</v>
      </c>
      <c r="D85">
        <v>2023</v>
      </c>
      <c r="E85" t="s">
        <v>1224</v>
      </c>
      <c r="F85" t="s">
        <v>186</v>
      </c>
      <c r="G85" t="s">
        <v>188</v>
      </c>
      <c r="H85">
        <v>613</v>
      </c>
      <c r="J85" t="s">
        <v>172</v>
      </c>
      <c r="K85" t="s">
        <v>455</v>
      </c>
      <c r="L85" t="s">
        <v>455</v>
      </c>
      <c r="M85" t="s">
        <v>455</v>
      </c>
      <c r="N85" t="s">
        <v>455</v>
      </c>
      <c r="O85" t="s">
        <v>455</v>
      </c>
      <c r="P85" t="s">
        <v>455</v>
      </c>
      <c r="Q85" t="s">
        <v>455</v>
      </c>
    </row>
    <row r="86" spans="1:17" x14ac:dyDescent="0.35">
      <c r="A86" s="1">
        <v>85</v>
      </c>
      <c r="B86" t="s">
        <v>92</v>
      </c>
      <c r="C86" t="s">
        <v>266</v>
      </c>
      <c r="D86">
        <v>2023</v>
      </c>
      <c r="E86" t="s">
        <v>1224</v>
      </c>
      <c r="F86" t="s">
        <v>186</v>
      </c>
      <c r="G86" t="s">
        <v>188</v>
      </c>
      <c r="H86">
        <v>623</v>
      </c>
      <c r="J86" t="s">
        <v>392</v>
      </c>
      <c r="K86" t="s">
        <v>579</v>
      </c>
      <c r="L86" t="s">
        <v>466</v>
      </c>
      <c r="M86" t="s">
        <v>455</v>
      </c>
      <c r="N86" t="s">
        <v>455</v>
      </c>
      <c r="O86" t="s">
        <v>455</v>
      </c>
      <c r="P86" t="s">
        <v>455</v>
      </c>
      <c r="Q86" t="s">
        <v>455</v>
      </c>
    </row>
    <row r="87" spans="1:17" x14ac:dyDescent="0.35">
      <c r="A87" s="1">
        <v>86</v>
      </c>
      <c r="B87" t="s">
        <v>93</v>
      </c>
      <c r="C87" t="s">
        <v>267</v>
      </c>
      <c r="D87">
        <v>2023</v>
      </c>
      <c r="E87" t="s">
        <v>1224</v>
      </c>
      <c r="F87" t="s">
        <v>186</v>
      </c>
      <c r="G87" t="s">
        <v>188</v>
      </c>
      <c r="H87">
        <v>631</v>
      </c>
      <c r="J87" t="s">
        <v>326</v>
      </c>
      <c r="K87" t="s">
        <v>464</v>
      </c>
      <c r="L87" t="s">
        <v>465</v>
      </c>
      <c r="M87" t="s">
        <v>466</v>
      </c>
      <c r="N87" t="s">
        <v>455</v>
      </c>
      <c r="O87" t="s">
        <v>455</v>
      </c>
      <c r="P87" t="s">
        <v>455</v>
      </c>
      <c r="Q87" t="s">
        <v>455</v>
      </c>
    </row>
    <row r="88" spans="1:17" x14ac:dyDescent="0.35">
      <c r="A88" s="1">
        <v>87</v>
      </c>
      <c r="B88" t="s">
        <v>94</v>
      </c>
      <c r="C88" t="s">
        <v>268</v>
      </c>
      <c r="D88">
        <v>2023</v>
      </c>
      <c r="E88" t="s">
        <v>1224</v>
      </c>
      <c r="F88" t="s">
        <v>186</v>
      </c>
      <c r="G88" t="s">
        <v>188</v>
      </c>
      <c r="H88">
        <v>640</v>
      </c>
      <c r="J88" t="s">
        <v>393</v>
      </c>
      <c r="K88" t="s">
        <v>580</v>
      </c>
      <c r="L88" t="s">
        <v>581</v>
      </c>
      <c r="M88" t="s">
        <v>455</v>
      </c>
      <c r="N88" t="s">
        <v>455</v>
      </c>
      <c r="O88" t="s">
        <v>455</v>
      </c>
      <c r="P88" t="s">
        <v>455</v>
      </c>
      <c r="Q88" t="s">
        <v>455</v>
      </c>
    </row>
    <row r="89" spans="1:17" x14ac:dyDescent="0.35">
      <c r="A89" s="1">
        <v>88</v>
      </c>
      <c r="B89" t="s">
        <v>95</v>
      </c>
      <c r="C89" t="s">
        <v>269</v>
      </c>
      <c r="D89">
        <v>2023</v>
      </c>
      <c r="E89" t="s">
        <v>1224</v>
      </c>
      <c r="F89" t="s">
        <v>186</v>
      </c>
      <c r="G89" t="s">
        <v>188</v>
      </c>
      <c r="H89">
        <v>648</v>
      </c>
      <c r="J89" t="s">
        <v>394</v>
      </c>
      <c r="K89" t="s">
        <v>582</v>
      </c>
      <c r="L89" t="s">
        <v>583</v>
      </c>
      <c r="M89" t="s">
        <v>455</v>
      </c>
      <c r="N89" t="s">
        <v>455</v>
      </c>
      <c r="O89" t="s">
        <v>455</v>
      </c>
      <c r="P89" t="s">
        <v>455</v>
      </c>
      <c r="Q89" t="s">
        <v>455</v>
      </c>
    </row>
    <row r="90" spans="1:17" x14ac:dyDescent="0.35">
      <c r="A90" s="1">
        <v>89</v>
      </c>
      <c r="B90" t="s">
        <v>96</v>
      </c>
      <c r="C90" t="s">
        <v>270</v>
      </c>
      <c r="D90">
        <v>2023</v>
      </c>
      <c r="E90" t="s">
        <v>1224</v>
      </c>
      <c r="F90" t="s">
        <v>186</v>
      </c>
      <c r="G90" t="s">
        <v>188</v>
      </c>
      <c r="H90">
        <v>651</v>
      </c>
      <c r="J90" t="s">
        <v>395</v>
      </c>
      <c r="K90" t="s">
        <v>584</v>
      </c>
      <c r="L90" t="s">
        <v>585</v>
      </c>
      <c r="M90" t="s">
        <v>586</v>
      </c>
      <c r="N90" t="s">
        <v>455</v>
      </c>
      <c r="O90" t="s">
        <v>455</v>
      </c>
      <c r="P90" t="s">
        <v>455</v>
      </c>
      <c r="Q90" t="s">
        <v>455</v>
      </c>
    </row>
    <row r="91" spans="1:17" x14ac:dyDescent="0.35">
      <c r="A91" s="1">
        <v>90</v>
      </c>
      <c r="B91" t="s">
        <v>97</v>
      </c>
      <c r="C91" t="s">
        <v>271</v>
      </c>
      <c r="D91">
        <v>2023</v>
      </c>
      <c r="E91" t="s">
        <v>1224</v>
      </c>
      <c r="F91" t="s">
        <v>186</v>
      </c>
      <c r="G91" t="s">
        <v>188</v>
      </c>
      <c r="H91">
        <v>660</v>
      </c>
      <c r="J91" t="s">
        <v>396</v>
      </c>
      <c r="K91" t="s">
        <v>587</v>
      </c>
      <c r="L91" t="s">
        <v>588</v>
      </c>
      <c r="M91" t="s">
        <v>589</v>
      </c>
      <c r="N91" t="s">
        <v>455</v>
      </c>
      <c r="O91" t="s">
        <v>455</v>
      </c>
      <c r="P91" t="s">
        <v>455</v>
      </c>
      <c r="Q91" t="s">
        <v>455</v>
      </c>
    </row>
    <row r="92" spans="1:17" x14ac:dyDescent="0.35">
      <c r="A92" s="1">
        <v>91</v>
      </c>
      <c r="B92" t="s">
        <v>98</v>
      </c>
      <c r="C92" t="s">
        <v>272</v>
      </c>
      <c r="D92">
        <v>2023</v>
      </c>
      <c r="E92" t="s">
        <v>1224</v>
      </c>
      <c r="F92" t="s">
        <v>186</v>
      </c>
      <c r="G92" t="s">
        <v>188</v>
      </c>
      <c r="H92">
        <v>663</v>
      </c>
      <c r="J92" t="s">
        <v>397</v>
      </c>
      <c r="K92" t="s">
        <v>590</v>
      </c>
      <c r="L92" t="s">
        <v>498</v>
      </c>
      <c r="M92" t="s">
        <v>455</v>
      </c>
      <c r="N92" t="s">
        <v>455</v>
      </c>
      <c r="O92" t="s">
        <v>455</v>
      </c>
      <c r="P92" t="s">
        <v>455</v>
      </c>
      <c r="Q92" t="s">
        <v>455</v>
      </c>
    </row>
    <row r="93" spans="1:17" x14ac:dyDescent="0.35">
      <c r="A93" s="1">
        <v>92</v>
      </c>
      <c r="B93" t="s">
        <v>99</v>
      </c>
      <c r="C93" t="s">
        <v>273</v>
      </c>
      <c r="D93">
        <v>2023</v>
      </c>
      <c r="E93" t="s">
        <v>1224</v>
      </c>
      <c r="F93" t="s">
        <v>186</v>
      </c>
      <c r="G93" t="s">
        <v>188</v>
      </c>
      <c r="H93">
        <v>672</v>
      </c>
      <c r="J93" t="s">
        <v>398</v>
      </c>
      <c r="K93" t="s">
        <v>584</v>
      </c>
      <c r="L93" t="s">
        <v>591</v>
      </c>
      <c r="M93" t="s">
        <v>455</v>
      </c>
      <c r="N93" t="s">
        <v>455</v>
      </c>
      <c r="O93" t="s">
        <v>455</v>
      </c>
      <c r="P93" t="s">
        <v>455</v>
      </c>
      <c r="Q93" t="s">
        <v>455</v>
      </c>
    </row>
    <row r="94" spans="1:17" x14ac:dyDescent="0.35">
      <c r="A94" s="1">
        <v>93</v>
      </c>
      <c r="B94" t="s">
        <v>100</v>
      </c>
      <c r="C94" t="s">
        <v>274</v>
      </c>
      <c r="D94">
        <v>2023</v>
      </c>
      <c r="E94" t="s">
        <v>1224</v>
      </c>
      <c r="F94" t="s">
        <v>186</v>
      </c>
      <c r="G94" t="s">
        <v>188</v>
      </c>
      <c r="H94">
        <v>682</v>
      </c>
      <c r="J94" t="s">
        <v>399</v>
      </c>
      <c r="K94" t="s">
        <v>584</v>
      </c>
      <c r="L94" t="s">
        <v>455</v>
      </c>
      <c r="M94" t="s">
        <v>455</v>
      </c>
      <c r="N94" t="s">
        <v>455</v>
      </c>
      <c r="O94" t="s">
        <v>455</v>
      </c>
      <c r="P94" t="s">
        <v>455</v>
      </c>
      <c r="Q94" t="s">
        <v>455</v>
      </c>
    </row>
    <row r="95" spans="1:17" x14ac:dyDescent="0.35">
      <c r="A95" s="1">
        <v>94</v>
      </c>
      <c r="B95" t="s">
        <v>101</v>
      </c>
      <c r="C95" t="s">
        <v>275</v>
      </c>
      <c r="D95">
        <v>2023</v>
      </c>
      <c r="E95" t="s">
        <v>1224</v>
      </c>
      <c r="F95" t="s">
        <v>186</v>
      </c>
      <c r="G95" t="s">
        <v>188</v>
      </c>
      <c r="H95">
        <v>685</v>
      </c>
      <c r="J95" t="s">
        <v>400</v>
      </c>
      <c r="K95" t="s">
        <v>494</v>
      </c>
      <c r="L95" t="s">
        <v>455</v>
      </c>
      <c r="M95" t="s">
        <v>455</v>
      </c>
      <c r="N95" t="s">
        <v>455</v>
      </c>
      <c r="O95" t="s">
        <v>455</v>
      </c>
      <c r="P95" t="s">
        <v>455</v>
      </c>
      <c r="Q95" t="s">
        <v>455</v>
      </c>
    </row>
    <row r="96" spans="1:17" x14ac:dyDescent="0.35">
      <c r="A96" s="1">
        <v>95</v>
      </c>
      <c r="B96" t="s">
        <v>102</v>
      </c>
      <c r="C96" t="s">
        <v>276</v>
      </c>
      <c r="D96">
        <v>2023</v>
      </c>
      <c r="E96" t="s">
        <v>1224</v>
      </c>
      <c r="F96" t="s">
        <v>186</v>
      </c>
      <c r="G96" t="s">
        <v>188</v>
      </c>
      <c r="H96">
        <v>688</v>
      </c>
      <c r="J96" t="s">
        <v>401</v>
      </c>
      <c r="K96" t="s">
        <v>592</v>
      </c>
      <c r="L96" t="s">
        <v>455</v>
      </c>
      <c r="M96" t="s">
        <v>455</v>
      </c>
      <c r="N96" t="s">
        <v>455</v>
      </c>
      <c r="O96" t="s">
        <v>455</v>
      </c>
      <c r="P96" t="s">
        <v>455</v>
      </c>
      <c r="Q96" t="s">
        <v>455</v>
      </c>
    </row>
    <row r="97" spans="1:17" x14ac:dyDescent="0.35">
      <c r="A97" s="1">
        <v>96</v>
      </c>
      <c r="B97" t="s">
        <v>103</v>
      </c>
      <c r="C97" t="s">
        <v>277</v>
      </c>
      <c r="D97">
        <v>2023</v>
      </c>
      <c r="E97" t="s">
        <v>1224</v>
      </c>
      <c r="F97" t="s">
        <v>186</v>
      </c>
      <c r="G97" t="s">
        <v>188</v>
      </c>
      <c r="H97">
        <v>691</v>
      </c>
      <c r="J97" t="s">
        <v>402</v>
      </c>
      <c r="K97" t="s">
        <v>593</v>
      </c>
      <c r="L97" t="s">
        <v>455</v>
      </c>
      <c r="M97" t="s">
        <v>455</v>
      </c>
      <c r="N97" t="s">
        <v>455</v>
      </c>
      <c r="O97" t="s">
        <v>455</v>
      </c>
      <c r="P97" t="s">
        <v>455</v>
      </c>
      <c r="Q97" t="s">
        <v>455</v>
      </c>
    </row>
    <row r="98" spans="1:17" x14ac:dyDescent="0.35">
      <c r="A98" s="1">
        <v>97</v>
      </c>
      <c r="B98" t="s">
        <v>104</v>
      </c>
      <c r="C98" t="s">
        <v>278</v>
      </c>
      <c r="D98">
        <v>2023</v>
      </c>
      <c r="E98" t="s">
        <v>1224</v>
      </c>
      <c r="F98" t="s">
        <v>186</v>
      </c>
      <c r="G98" t="s">
        <v>188</v>
      </c>
      <c r="H98">
        <v>694</v>
      </c>
      <c r="J98" t="s">
        <v>403</v>
      </c>
      <c r="K98" t="s">
        <v>341</v>
      </c>
      <c r="L98" t="s">
        <v>502</v>
      </c>
      <c r="M98" t="s">
        <v>455</v>
      </c>
      <c r="N98" t="s">
        <v>455</v>
      </c>
      <c r="O98" t="s">
        <v>455</v>
      </c>
      <c r="P98" t="s">
        <v>455</v>
      </c>
      <c r="Q98" t="s">
        <v>455</v>
      </c>
    </row>
    <row r="99" spans="1:17" x14ac:dyDescent="0.35">
      <c r="A99" s="1">
        <v>98</v>
      </c>
      <c r="B99" t="s">
        <v>105</v>
      </c>
      <c r="C99" t="s">
        <v>279</v>
      </c>
      <c r="D99">
        <v>2023</v>
      </c>
      <c r="E99" t="s">
        <v>1224</v>
      </c>
      <c r="F99" t="s">
        <v>186</v>
      </c>
      <c r="G99" t="s">
        <v>188</v>
      </c>
      <c r="H99">
        <v>697</v>
      </c>
      <c r="J99" t="s">
        <v>404</v>
      </c>
      <c r="K99" t="s">
        <v>594</v>
      </c>
      <c r="L99" t="s">
        <v>595</v>
      </c>
      <c r="M99" t="s">
        <v>455</v>
      </c>
      <c r="N99" t="s">
        <v>455</v>
      </c>
      <c r="O99" t="s">
        <v>455</v>
      </c>
      <c r="P99" t="s">
        <v>455</v>
      </c>
      <c r="Q99" t="s">
        <v>455</v>
      </c>
    </row>
    <row r="100" spans="1:17" x14ac:dyDescent="0.35">
      <c r="A100" s="1">
        <v>99</v>
      </c>
      <c r="B100" t="s">
        <v>106</v>
      </c>
      <c r="C100" t="s">
        <v>280</v>
      </c>
      <c r="D100">
        <v>2023</v>
      </c>
      <c r="E100" t="s">
        <v>1224</v>
      </c>
      <c r="F100" t="s">
        <v>186</v>
      </c>
      <c r="G100" t="s">
        <v>188</v>
      </c>
      <c r="H100">
        <v>707</v>
      </c>
      <c r="J100" t="s">
        <v>405</v>
      </c>
      <c r="K100" t="s">
        <v>596</v>
      </c>
      <c r="L100" t="s">
        <v>455</v>
      </c>
      <c r="M100" t="s">
        <v>455</v>
      </c>
      <c r="N100" t="s">
        <v>455</v>
      </c>
      <c r="O100" t="s">
        <v>455</v>
      </c>
      <c r="P100" t="s">
        <v>455</v>
      </c>
      <c r="Q100" t="s">
        <v>455</v>
      </c>
    </row>
    <row r="101" spans="1:17" x14ac:dyDescent="0.35">
      <c r="A101" s="1">
        <v>100</v>
      </c>
      <c r="B101" t="s">
        <v>107</v>
      </c>
      <c r="C101" t="s">
        <v>225</v>
      </c>
      <c r="D101">
        <v>2023</v>
      </c>
      <c r="E101" t="s">
        <v>1224</v>
      </c>
      <c r="F101" t="s">
        <v>186</v>
      </c>
      <c r="G101" t="s">
        <v>188</v>
      </c>
      <c r="H101">
        <v>715</v>
      </c>
      <c r="J101" t="s">
        <v>351</v>
      </c>
      <c r="K101" t="s">
        <v>515</v>
      </c>
      <c r="L101" t="s">
        <v>455</v>
      </c>
      <c r="M101" t="s">
        <v>455</v>
      </c>
      <c r="N101" t="s">
        <v>455</v>
      </c>
      <c r="O101" t="s">
        <v>455</v>
      </c>
      <c r="P101" t="s">
        <v>455</v>
      </c>
      <c r="Q101" t="s">
        <v>455</v>
      </c>
    </row>
    <row r="102" spans="1:17" x14ac:dyDescent="0.35">
      <c r="A102" s="1">
        <v>101</v>
      </c>
      <c r="B102" t="s">
        <v>108</v>
      </c>
      <c r="C102" t="s">
        <v>281</v>
      </c>
      <c r="D102">
        <v>2023</v>
      </c>
      <c r="E102" t="s">
        <v>1224</v>
      </c>
      <c r="F102" t="s">
        <v>186</v>
      </c>
      <c r="G102" t="s">
        <v>188</v>
      </c>
      <c r="H102">
        <v>718</v>
      </c>
      <c r="J102" t="s">
        <v>406</v>
      </c>
      <c r="K102" t="s">
        <v>597</v>
      </c>
      <c r="L102" t="s">
        <v>455</v>
      </c>
      <c r="M102" t="s">
        <v>455</v>
      </c>
      <c r="N102" t="s">
        <v>455</v>
      </c>
      <c r="O102" t="s">
        <v>455</v>
      </c>
      <c r="P102" t="s">
        <v>455</v>
      </c>
      <c r="Q102" t="s">
        <v>455</v>
      </c>
    </row>
    <row r="103" spans="1:17" x14ac:dyDescent="0.35">
      <c r="A103" s="1">
        <v>102</v>
      </c>
      <c r="B103" t="s">
        <v>109</v>
      </c>
      <c r="C103" t="s">
        <v>282</v>
      </c>
      <c r="D103">
        <v>2023</v>
      </c>
      <c r="E103" t="s">
        <v>1224</v>
      </c>
      <c r="F103" t="s">
        <v>186</v>
      </c>
      <c r="G103" t="s">
        <v>188</v>
      </c>
      <c r="H103">
        <v>727</v>
      </c>
      <c r="J103" t="s">
        <v>407</v>
      </c>
      <c r="K103" t="s">
        <v>598</v>
      </c>
      <c r="L103" t="s">
        <v>599</v>
      </c>
      <c r="M103" t="s">
        <v>178</v>
      </c>
      <c r="N103" t="s">
        <v>455</v>
      </c>
      <c r="O103" t="s">
        <v>455</v>
      </c>
      <c r="P103" t="s">
        <v>455</v>
      </c>
      <c r="Q103" t="s">
        <v>455</v>
      </c>
    </row>
    <row r="104" spans="1:17" x14ac:dyDescent="0.35">
      <c r="A104" s="1">
        <v>103</v>
      </c>
      <c r="B104" t="s">
        <v>110</v>
      </c>
      <c r="C104" t="s">
        <v>173</v>
      </c>
      <c r="D104">
        <v>2023</v>
      </c>
      <c r="E104" t="s">
        <v>1224</v>
      </c>
      <c r="F104" t="s">
        <v>186</v>
      </c>
      <c r="G104" t="s">
        <v>188</v>
      </c>
      <c r="H104">
        <v>738</v>
      </c>
      <c r="J104" t="s">
        <v>173</v>
      </c>
      <c r="K104" t="s">
        <v>455</v>
      </c>
      <c r="L104" t="s">
        <v>455</v>
      </c>
      <c r="M104" t="s">
        <v>455</v>
      </c>
      <c r="N104" t="s">
        <v>455</v>
      </c>
      <c r="O104" t="s">
        <v>455</v>
      </c>
      <c r="P104" t="s">
        <v>455</v>
      </c>
      <c r="Q104" t="s">
        <v>455</v>
      </c>
    </row>
    <row r="105" spans="1:17" x14ac:dyDescent="0.35">
      <c r="A105" s="1">
        <v>104</v>
      </c>
      <c r="B105" t="s">
        <v>111</v>
      </c>
      <c r="C105" t="s">
        <v>283</v>
      </c>
      <c r="D105">
        <v>2023</v>
      </c>
      <c r="E105" t="s">
        <v>1224</v>
      </c>
      <c r="F105" t="s">
        <v>186</v>
      </c>
      <c r="G105" t="s">
        <v>188</v>
      </c>
      <c r="H105">
        <v>741</v>
      </c>
      <c r="J105" t="s">
        <v>408</v>
      </c>
      <c r="K105" t="s">
        <v>600</v>
      </c>
      <c r="L105" t="s">
        <v>601</v>
      </c>
      <c r="M105" t="s">
        <v>602</v>
      </c>
      <c r="N105" t="s">
        <v>603</v>
      </c>
      <c r="O105" t="s">
        <v>462</v>
      </c>
      <c r="P105" t="s">
        <v>455</v>
      </c>
      <c r="Q105" t="s">
        <v>455</v>
      </c>
    </row>
    <row r="106" spans="1:17" x14ac:dyDescent="0.35">
      <c r="A106" s="1">
        <v>105</v>
      </c>
      <c r="B106" t="s">
        <v>112</v>
      </c>
      <c r="C106" t="s">
        <v>284</v>
      </c>
      <c r="D106">
        <v>2023</v>
      </c>
      <c r="E106" t="s">
        <v>1224</v>
      </c>
      <c r="F106" t="s">
        <v>186</v>
      </c>
      <c r="G106" t="s">
        <v>188</v>
      </c>
      <c r="H106">
        <v>747</v>
      </c>
      <c r="J106" t="s">
        <v>409</v>
      </c>
      <c r="K106" t="s">
        <v>604</v>
      </c>
      <c r="L106" t="s">
        <v>455</v>
      </c>
      <c r="M106" t="s">
        <v>455</v>
      </c>
      <c r="N106" t="s">
        <v>455</v>
      </c>
      <c r="O106" t="s">
        <v>455</v>
      </c>
      <c r="P106" t="s">
        <v>455</v>
      </c>
      <c r="Q106" t="s">
        <v>455</v>
      </c>
    </row>
    <row r="107" spans="1:17" x14ac:dyDescent="0.35">
      <c r="A107" s="1">
        <v>106</v>
      </c>
      <c r="B107" t="s">
        <v>113</v>
      </c>
      <c r="C107" t="s">
        <v>285</v>
      </c>
      <c r="D107">
        <v>2023</v>
      </c>
      <c r="E107" t="s">
        <v>1224</v>
      </c>
      <c r="F107" t="s">
        <v>186</v>
      </c>
      <c r="G107" t="s">
        <v>188</v>
      </c>
      <c r="H107">
        <v>750</v>
      </c>
      <c r="J107" t="s">
        <v>410</v>
      </c>
      <c r="K107" t="s">
        <v>605</v>
      </c>
      <c r="L107" t="s">
        <v>606</v>
      </c>
      <c r="M107" t="s">
        <v>607</v>
      </c>
      <c r="N107" t="s">
        <v>608</v>
      </c>
      <c r="O107" t="s">
        <v>609</v>
      </c>
      <c r="P107" t="s">
        <v>455</v>
      </c>
      <c r="Q107" t="s">
        <v>455</v>
      </c>
    </row>
    <row r="108" spans="1:17" x14ac:dyDescent="0.35">
      <c r="A108" s="1">
        <v>107</v>
      </c>
      <c r="B108" t="s">
        <v>114</v>
      </c>
      <c r="C108" t="s">
        <v>286</v>
      </c>
      <c r="D108">
        <v>2023</v>
      </c>
      <c r="E108" t="s">
        <v>1224</v>
      </c>
      <c r="F108" t="s">
        <v>186</v>
      </c>
      <c r="G108" t="s">
        <v>188</v>
      </c>
      <c r="H108">
        <v>753</v>
      </c>
      <c r="J108" t="s">
        <v>411</v>
      </c>
      <c r="K108" t="s">
        <v>377</v>
      </c>
      <c r="L108" t="s">
        <v>558</v>
      </c>
      <c r="M108" t="s">
        <v>455</v>
      </c>
      <c r="N108" t="s">
        <v>455</v>
      </c>
      <c r="O108" t="s">
        <v>455</v>
      </c>
      <c r="P108" t="s">
        <v>455</v>
      </c>
      <c r="Q108" t="s">
        <v>455</v>
      </c>
    </row>
    <row r="109" spans="1:17" x14ac:dyDescent="0.35">
      <c r="A109" s="1">
        <v>108</v>
      </c>
      <c r="B109" t="s">
        <v>115</v>
      </c>
      <c r="C109" t="s">
        <v>287</v>
      </c>
      <c r="D109">
        <v>2023</v>
      </c>
      <c r="E109" t="s">
        <v>1224</v>
      </c>
      <c r="F109" t="s">
        <v>186</v>
      </c>
      <c r="G109" t="s">
        <v>188</v>
      </c>
      <c r="H109">
        <v>763</v>
      </c>
      <c r="J109" t="s">
        <v>412</v>
      </c>
      <c r="K109" t="s">
        <v>610</v>
      </c>
      <c r="L109" t="s">
        <v>455</v>
      </c>
      <c r="M109" t="s">
        <v>455</v>
      </c>
      <c r="N109" t="s">
        <v>455</v>
      </c>
      <c r="O109" t="s">
        <v>455</v>
      </c>
      <c r="P109" t="s">
        <v>455</v>
      </c>
      <c r="Q109" t="s">
        <v>455</v>
      </c>
    </row>
    <row r="110" spans="1:17" x14ac:dyDescent="0.35">
      <c r="A110" s="1">
        <v>109</v>
      </c>
      <c r="B110" t="s">
        <v>116</v>
      </c>
      <c r="C110" t="s">
        <v>288</v>
      </c>
      <c r="D110">
        <v>2023</v>
      </c>
      <c r="E110" t="s">
        <v>1224</v>
      </c>
      <c r="F110" t="s">
        <v>186</v>
      </c>
      <c r="G110" t="s">
        <v>188</v>
      </c>
      <c r="H110">
        <v>766</v>
      </c>
      <c r="J110" t="s">
        <v>413</v>
      </c>
      <c r="K110" t="s">
        <v>611</v>
      </c>
      <c r="L110" t="s">
        <v>612</v>
      </c>
      <c r="M110" t="s">
        <v>613</v>
      </c>
      <c r="N110" t="s">
        <v>614</v>
      </c>
      <c r="O110" t="s">
        <v>455</v>
      </c>
      <c r="P110" t="s">
        <v>455</v>
      </c>
      <c r="Q110" t="s">
        <v>455</v>
      </c>
    </row>
    <row r="111" spans="1:17" x14ac:dyDescent="0.35">
      <c r="A111" s="1">
        <v>110</v>
      </c>
      <c r="B111" t="s">
        <v>117</v>
      </c>
      <c r="C111" t="s">
        <v>289</v>
      </c>
      <c r="D111">
        <v>2023</v>
      </c>
      <c r="E111" t="s">
        <v>1224</v>
      </c>
      <c r="F111" t="s">
        <v>186</v>
      </c>
      <c r="G111" t="s">
        <v>188</v>
      </c>
      <c r="H111">
        <v>776</v>
      </c>
      <c r="J111" t="s">
        <v>414</v>
      </c>
      <c r="K111" t="s">
        <v>615</v>
      </c>
      <c r="L111" t="s">
        <v>455</v>
      </c>
      <c r="M111" t="s">
        <v>455</v>
      </c>
      <c r="N111" t="s">
        <v>455</v>
      </c>
      <c r="O111" t="s">
        <v>455</v>
      </c>
      <c r="P111" t="s">
        <v>455</v>
      </c>
      <c r="Q111" t="s">
        <v>455</v>
      </c>
    </row>
    <row r="112" spans="1:17" x14ac:dyDescent="0.35">
      <c r="A112" s="1">
        <v>111</v>
      </c>
      <c r="B112" t="s">
        <v>118</v>
      </c>
      <c r="C112" t="s">
        <v>290</v>
      </c>
      <c r="D112">
        <v>2023</v>
      </c>
      <c r="E112" t="s">
        <v>1224</v>
      </c>
      <c r="F112" t="s">
        <v>186</v>
      </c>
      <c r="G112" t="s">
        <v>188</v>
      </c>
      <c r="H112">
        <v>785</v>
      </c>
      <c r="J112" t="s">
        <v>415</v>
      </c>
      <c r="K112" t="s">
        <v>616</v>
      </c>
      <c r="L112" t="s">
        <v>617</v>
      </c>
      <c r="M112" t="s">
        <v>418</v>
      </c>
      <c r="N112" t="s">
        <v>355</v>
      </c>
      <c r="O112" t="s">
        <v>515</v>
      </c>
      <c r="P112" t="s">
        <v>455</v>
      </c>
      <c r="Q112" t="s">
        <v>455</v>
      </c>
    </row>
    <row r="113" spans="1:17" x14ac:dyDescent="0.35">
      <c r="A113" s="1">
        <v>112</v>
      </c>
      <c r="B113" t="s">
        <v>119</v>
      </c>
      <c r="C113" t="s">
        <v>291</v>
      </c>
      <c r="D113">
        <v>2023</v>
      </c>
      <c r="E113" t="s">
        <v>1224</v>
      </c>
      <c r="F113" t="s">
        <v>186</v>
      </c>
      <c r="G113" t="s">
        <v>188</v>
      </c>
      <c r="H113">
        <v>788</v>
      </c>
      <c r="J113" t="s">
        <v>416</v>
      </c>
      <c r="K113" t="s">
        <v>618</v>
      </c>
      <c r="L113" t="s">
        <v>619</v>
      </c>
      <c r="M113" t="s">
        <v>455</v>
      </c>
      <c r="N113" t="s">
        <v>455</v>
      </c>
      <c r="O113" t="s">
        <v>455</v>
      </c>
      <c r="P113" t="s">
        <v>455</v>
      </c>
      <c r="Q113" t="s">
        <v>455</v>
      </c>
    </row>
    <row r="114" spans="1:17" x14ac:dyDescent="0.35">
      <c r="A114" s="1">
        <v>113</v>
      </c>
      <c r="B114" t="s">
        <v>120</v>
      </c>
      <c r="C114" t="s">
        <v>176</v>
      </c>
      <c r="D114">
        <v>2023</v>
      </c>
      <c r="E114" t="s">
        <v>1224</v>
      </c>
      <c r="F114" t="s">
        <v>186</v>
      </c>
      <c r="G114" t="s">
        <v>188</v>
      </c>
      <c r="H114">
        <v>797</v>
      </c>
      <c r="J114" t="s">
        <v>176</v>
      </c>
      <c r="K114" t="s">
        <v>455</v>
      </c>
      <c r="L114" t="s">
        <v>455</v>
      </c>
      <c r="M114" t="s">
        <v>455</v>
      </c>
      <c r="N114" t="s">
        <v>455</v>
      </c>
      <c r="O114" t="s">
        <v>455</v>
      </c>
      <c r="P114" t="s">
        <v>455</v>
      </c>
      <c r="Q114" t="s">
        <v>455</v>
      </c>
    </row>
    <row r="115" spans="1:17" x14ac:dyDescent="0.35">
      <c r="A115" s="1">
        <v>114</v>
      </c>
      <c r="B115" t="s">
        <v>121</v>
      </c>
      <c r="C115" t="s">
        <v>292</v>
      </c>
      <c r="D115">
        <v>2023</v>
      </c>
      <c r="E115" t="s">
        <v>1224</v>
      </c>
      <c r="F115" t="s">
        <v>186</v>
      </c>
      <c r="G115" t="s">
        <v>188</v>
      </c>
      <c r="H115">
        <v>800</v>
      </c>
      <c r="J115" t="s">
        <v>417</v>
      </c>
      <c r="K115" t="s">
        <v>620</v>
      </c>
      <c r="L115" t="s">
        <v>621</v>
      </c>
      <c r="M115" t="s">
        <v>455</v>
      </c>
      <c r="N115" t="s">
        <v>455</v>
      </c>
      <c r="O115" t="s">
        <v>455</v>
      </c>
      <c r="P115" t="s">
        <v>455</v>
      </c>
      <c r="Q115" t="s">
        <v>455</v>
      </c>
    </row>
    <row r="116" spans="1:17" x14ac:dyDescent="0.35">
      <c r="A116" s="1">
        <v>115</v>
      </c>
      <c r="B116" t="s">
        <v>122</v>
      </c>
      <c r="C116" t="s">
        <v>293</v>
      </c>
      <c r="D116">
        <v>2023</v>
      </c>
      <c r="E116" t="s">
        <v>1224</v>
      </c>
      <c r="F116" t="s">
        <v>186</v>
      </c>
      <c r="G116" t="s">
        <v>188</v>
      </c>
      <c r="H116">
        <v>811</v>
      </c>
      <c r="J116" t="s">
        <v>418</v>
      </c>
      <c r="K116" t="s">
        <v>379</v>
      </c>
      <c r="L116" t="s">
        <v>622</v>
      </c>
      <c r="M116" t="s">
        <v>515</v>
      </c>
      <c r="N116" t="s">
        <v>455</v>
      </c>
      <c r="O116" t="s">
        <v>455</v>
      </c>
      <c r="P116" t="s">
        <v>455</v>
      </c>
      <c r="Q116" t="s">
        <v>455</v>
      </c>
    </row>
    <row r="117" spans="1:17" x14ac:dyDescent="0.35">
      <c r="A117" s="1">
        <v>116</v>
      </c>
      <c r="B117" t="s">
        <v>123</v>
      </c>
      <c r="C117" t="s">
        <v>294</v>
      </c>
      <c r="D117">
        <v>2023</v>
      </c>
      <c r="E117" t="s">
        <v>1224</v>
      </c>
      <c r="F117" t="s">
        <v>186</v>
      </c>
      <c r="G117" t="s">
        <v>188</v>
      </c>
      <c r="H117">
        <v>814</v>
      </c>
      <c r="J117" t="s">
        <v>419</v>
      </c>
      <c r="K117" t="s">
        <v>341</v>
      </c>
      <c r="L117" t="s">
        <v>502</v>
      </c>
      <c r="M117" t="s">
        <v>455</v>
      </c>
      <c r="N117" t="s">
        <v>455</v>
      </c>
      <c r="O117" t="s">
        <v>455</v>
      </c>
      <c r="P117" t="s">
        <v>455</v>
      </c>
      <c r="Q117" t="s">
        <v>455</v>
      </c>
    </row>
    <row r="118" spans="1:17" x14ac:dyDescent="0.35">
      <c r="A118" s="1">
        <v>117</v>
      </c>
      <c r="B118" t="s">
        <v>124</v>
      </c>
      <c r="C118" t="s">
        <v>295</v>
      </c>
      <c r="D118">
        <v>2023</v>
      </c>
      <c r="E118" t="s">
        <v>1224</v>
      </c>
      <c r="F118" t="s">
        <v>189</v>
      </c>
      <c r="G118" t="s">
        <v>187</v>
      </c>
      <c r="H118">
        <v>817</v>
      </c>
      <c r="J118" t="s">
        <v>420</v>
      </c>
      <c r="K118" t="s">
        <v>623</v>
      </c>
      <c r="L118" t="s">
        <v>178</v>
      </c>
      <c r="M118" t="s">
        <v>455</v>
      </c>
      <c r="N118" t="s">
        <v>455</v>
      </c>
      <c r="O118" t="s">
        <v>455</v>
      </c>
      <c r="P118" t="s">
        <v>455</v>
      </c>
      <c r="Q118" t="s">
        <v>455</v>
      </c>
    </row>
    <row r="119" spans="1:17" x14ac:dyDescent="0.35">
      <c r="A119" s="1">
        <v>118</v>
      </c>
      <c r="B119" t="s">
        <v>125</v>
      </c>
      <c r="C119" t="s">
        <v>296</v>
      </c>
      <c r="D119">
        <v>2023</v>
      </c>
      <c r="E119" t="s">
        <v>1224</v>
      </c>
      <c r="F119" t="s">
        <v>189</v>
      </c>
      <c r="G119" t="s">
        <v>187</v>
      </c>
      <c r="H119">
        <v>820</v>
      </c>
      <c r="J119" t="s">
        <v>421</v>
      </c>
      <c r="K119" t="s">
        <v>624</v>
      </c>
      <c r="L119" t="s">
        <v>455</v>
      </c>
      <c r="M119" t="s">
        <v>455</v>
      </c>
      <c r="N119" t="s">
        <v>455</v>
      </c>
      <c r="O119" t="s">
        <v>455</v>
      </c>
      <c r="P119" t="s">
        <v>455</v>
      </c>
      <c r="Q119" t="s">
        <v>455</v>
      </c>
    </row>
    <row r="120" spans="1:17" x14ac:dyDescent="0.35">
      <c r="A120" s="1">
        <v>119</v>
      </c>
      <c r="B120" t="s">
        <v>126</v>
      </c>
      <c r="C120" t="s">
        <v>178</v>
      </c>
      <c r="D120">
        <v>2023</v>
      </c>
      <c r="E120" t="s">
        <v>1224</v>
      </c>
      <c r="F120" t="s">
        <v>189</v>
      </c>
      <c r="G120" t="s">
        <v>187</v>
      </c>
      <c r="H120">
        <v>828</v>
      </c>
      <c r="J120" t="s">
        <v>178</v>
      </c>
      <c r="K120" t="s">
        <v>455</v>
      </c>
      <c r="L120" t="s">
        <v>455</v>
      </c>
      <c r="M120" t="s">
        <v>455</v>
      </c>
      <c r="N120" t="s">
        <v>455</v>
      </c>
      <c r="O120" t="s">
        <v>455</v>
      </c>
      <c r="P120" t="s">
        <v>455</v>
      </c>
      <c r="Q120" t="s">
        <v>455</v>
      </c>
    </row>
    <row r="121" spans="1:17" x14ac:dyDescent="0.35">
      <c r="A121" s="1">
        <v>120</v>
      </c>
      <c r="B121" t="s">
        <v>127</v>
      </c>
      <c r="C121" t="s">
        <v>297</v>
      </c>
      <c r="D121">
        <v>2023</v>
      </c>
      <c r="E121" t="s">
        <v>1224</v>
      </c>
      <c r="F121" t="s">
        <v>189</v>
      </c>
      <c r="G121" t="s">
        <v>187</v>
      </c>
      <c r="H121">
        <v>832</v>
      </c>
      <c r="J121" t="s">
        <v>422</v>
      </c>
      <c r="K121" t="s">
        <v>625</v>
      </c>
      <c r="L121" t="s">
        <v>626</v>
      </c>
      <c r="M121" t="s">
        <v>627</v>
      </c>
      <c r="N121" t="s">
        <v>455</v>
      </c>
      <c r="O121" t="s">
        <v>455</v>
      </c>
      <c r="P121" t="s">
        <v>455</v>
      </c>
      <c r="Q121" t="s">
        <v>455</v>
      </c>
    </row>
    <row r="122" spans="1:17" x14ac:dyDescent="0.35">
      <c r="A122" s="1">
        <v>121</v>
      </c>
      <c r="B122" t="s">
        <v>128</v>
      </c>
      <c r="C122" t="s">
        <v>298</v>
      </c>
      <c r="D122">
        <v>2023</v>
      </c>
      <c r="E122" t="s">
        <v>1224</v>
      </c>
      <c r="F122" t="s">
        <v>189</v>
      </c>
      <c r="G122" t="s">
        <v>187</v>
      </c>
      <c r="H122">
        <v>841</v>
      </c>
      <c r="J122" t="s">
        <v>423</v>
      </c>
      <c r="K122" t="s">
        <v>407</v>
      </c>
      <c r="L122" t="s">
        <v>178</v>
      </c>
      <c r="M122" t="s">
        <v>455</v>
      </c>
      <c r="N122" t="s">
        <v>455</v>
      </c>
      <c r="O122" t="s">
        <v>455</v>
      </c>
      <c r="P122" t="s">
        <v>455</v>
      </c>
      <c r="Q122" t="s">
        <v>455</v>
      </c>
    </row>
    <row r="123" spans="1:17" x14ac:dyDescent="0.35">
      <c r="A123" s="1">
        <v>122</v>
      </c>
      <c r="B123" t="s">
        <v>129</v>
      </c>
      <c r="C123" t="s">
        <v>299</v>
      </c>
      <c r="D123">
        <v>2023</v>
      </c>
      <c r="E123" t="s">
        <v>1224</v>
      </c>
      <c r="F123" t="s">
        <v>189</v>
      </c>
      <c r="G123" t="s">
        <v>187</v>
      </c>
      <c r="H123">
        <v>844</v>
      </c>
      <c r="J123" t="s">
        <v>424</v>
      </c>
      <c r="K123" t="s">
        <v>628</v>
      </c>
      <c r="L123" t="s">
        <v>629</v>
      </c>
      <c r="M123" t="s">
        <v>630</v>
      </c>
      <c r="N123" t="s">
        <v>631</v>
      </c>
      <c r="O123" t="s">
        <v>632</v>
      </c>
      <c r="P123" t="s">
        <v>633</v>
      </c>
      <c r="Q123" t="s">
        <v>455</v>
      </c>
    </row>
    <row r="124" spans="1:17" x14ac:dyDescent="0.35">
      <c r="A124" s="1">
        <v>123</v>
      </c>
      <c r="B124" t="s">
        <v>130</v>
      </c>
      <c r="C124" t="s">
        <v>300</v>
      </c>
      <c r="D124">
        <v>2023</v>
      </c>
      <c r="E124" t="s">
        <v>1224</v>
      </c>
      <c r="F124" t="s">
        <v>189</v>
      </c>
      <c r="G124" t="s">
        <v>187</v>
      </c>
      <c r="H124">
        <v>853</v>
      </c>
      <c r="J124" t="s">
        <v>425</v>
      </c>
      <c r="K124" t="s">
        <v>634</v>
      </c>
      <c r="L124" t="s">
        <v>635</v>
      </c>
      <c r="M124" t="s">
        <v>455</v>
      </c>
      <c r="N124" t="s">
        <v>455</v>
      </c>
      <c r="O124" t="s">
        <v>455</v>
      </c>
      <c r="P124" t="s">
        <v>455</v>
      </c>
      <c r="Q124" t="s">
        <v>455</v>
      </c>
    </row>
    <row r="125" spans="1:17" x14ac:dyDescent="0.35">
      <c r="A125" s="1">
        <v>124</v>
      </c>
      <c r="B125" t="s">
        <v>131</v>
      </c>
      <c r="C125" t="s">
        <v>301</v>
      </c>
      <c r="D125">
        <v>2023</v>
      </c>
      <c r="E125" t="s">
        <v>1224</v>
      </c>
      <c r="F125" t="s">
        <v>189</v>
      </c>
      <c r="G125" t="s">
        <v>188</v>
      </c>
      <c r="H125">
        <v>856</v>
      </c>
      <c r="J125" t="s">
        <v>426</v>
      </c>
      <c r="K125" t="s">
        <v>636</v>
      </c>
      <c r="L125" t="s">
        <v>637</v>
      </c>
      <c r="M125" t="s">
        <v>455</v>
      </c>
      <c r="N125" t="s">
        <v>455</v>
      </c>
      <c r="O125" t="s">
        <v>455</v>
      </c>
      <c r="P125" t="s">
        <v>455</v>
      </c>
      <c r="Q125" t="s">
        <v>455</v>
      </c>
    </row>
    <row r="126" spans="1:17" x14ac:dyDescent="0.35">
      <c r="A126" s="1">
        <v>125</v>
      </c>
      <c r="B126" t="s">
        <v>132</v>
      </c>
      <c r="C126" t="s">
        <v>302</v>
      </c>
      <c r="D126">
        <v>2023</v>
      </c>
      <c r="E126" t="s">
        <v>1224</v>
      </c>
      <c r="F126" t="s">
        <v>189</v>
      </c>
      <c r="G126" t="s">
        <v>188</v>
      </c>
      <c r="H126">
        <v>865</v>
      </c>
      <c r="J126" t="s">
        <v>427</v>
      </c>
      <c r="K126" t="s">
        <v>630</v>
      </c>
      <c r="L126" t="s">
        <v>638</v>
      </c>
      <c r="M126" t="s">
        <v>455</v>
      </c>
      <c r="N126" t="s">
        <v>455</v>
      </c>
      <c r="O126" t="s">
        <v>455</v>
      </c>
      <c r="P126" t="s">
        <v>455</v>
      </c>
      <c r="Q126" t="s">
        <v>455</v>
      </c>
    </row>
    <row r="127" spans="1:17" x14ac:dyDescent="0.35">
      <c r="A127" s="1">
        <v>126</v>
      </c>
      <c r="B127" t="s">
        <v>133</v>
      </c>
      <c r="C127" t="s">
        <v>303</v>
      </c>
      <c r="D127">
        <v>2023</v>
      </c>
      <c r="E127" t="s">
        <v>1224</v>
      </c>
      <c r="F127" t="s">
        <v>189</v>
      </c>
      <c r="G127" t="s">
        <v>188</v>
      </c>
      <c r="H127">
        <v>872</v>
      </c>
      <c r="J127" t="s">
        <v>428</v>
      </c>
      <c r="K127" t="s">
        <v>639</v>
      </c>
      <c r="L127" t="s">
        <v>185</v>
      </c>
      <c r="M127" t="s">
        <v>640</v>
      </c>
      <c r="N127" t="s">
        <v>641</v>
      </c>
      <c r="O127" t="s">
        <v>455</v>
      </c>
      <c r="P127" t="s">
        <v>455</v>
      </c>
      <c r="Q127" t="s">
        <v>455</v>
      </c>
    </row>
    <row r="128" spans="1:17" x14ac:dyDescent="0.35">
      <c r="A128" s="1">
        <v>127</v>
      </c>
      <c r="B128" t="s">
        <v>134</v>
      </c>
      <c r="C128" t="s">
        <v>304</v>
      </c>
      <c r="D128">
        <v>2023</v>
      </c>
      <c r="E128" t="s">
        <v>1224</v>
      </c>
      <c r="F128" t="s">
        <v>190</v>
      </c>
      <c r="G128" t="s">
        <v>187</v>
      </c>
      <c r="H128">
        <v>882</v>
      </c>
      <c r="J128" t="s">
        <v>429</v>
      </c>
      <c r="K128" t="s">
        <v>459</v>
      </c>
      <c r="L128" t="s">
        <v>455</v>
      </c>
      <c r="M128" t="s">
        <v>455</v>
      </c>
      <c r="N128" t="s">
        <v>455</v>
      </c>
      <c r="O128" t="s">
        <v>455</v>
      </c>
      <c r="P128" t="s">
        <v>455</v>
      </c>
      <c r="Q128" t="s">
        <v>455</v>
      </c>
    </row>
    <row r="129" spans="1:17" x14ac:dyDescent="0.35">
      <c r="A129" s="1">
        <v>128</v>
      </c>
      <c r="B129" t="s">
        <v>135</v>
      </c>
      <c r="C129" t="s">
        <v>305</v>
      </c>
      <c r="D129">
        <v>2023</v>
      </c>
      <c r="E129" t="s">
        <v>1224</v>
      </c>
      <c r="F129" t="s">
        <v>190</v>
      </c>
      <c r="G129" t="s">
        <v>187</v>
      </c>
      <c r="H129">
        <v>885</v>
      </c>
      <c r="J129" t="s">
        <v>430</v>
      </c>
      <c r="K129" t="s">
        <v>642</v>
      </c>
      <c r="L129" t="s">
        <v>455</v>
      </c>
      <c r="M129" t="s">
        <v>455</v>
      </c>
      <c r="N129" t="s">
        <v>455</v>
      </c>
      <c r="O129" t="s">
        <v>455</v>
      </c>
      <c r="P129" t="s">
        <v>455</v>
      </c>
      <c r="Q129" t="s">
        <v>455</v>
      </c>
    </row>
    <row r="130" spans="1:17" x14ac:dyDescent="0.35">
      <c r="A130" s="1">
        <v>129</v>
      </c>
      <c r="B130" t="s">
        <v>136</v>
      </c>
      <c r="C130" t="s">
        <v>306</v>
      </c>
      <c r="D130">
        <v>2023</v>
      </c>
      <c r="E130" t="s">
        <v>1224</v>
      </c>
      <c r="F130" t="s">
        <v>190</v>
      </c>
      <c r="G130" t="s">
        <v>187</v>
      </c>
      <c r="H130">
        <v>888</v>
      </c>
      <c r="J130" t="s">
        <v>431</v>
      </c>
      <c r="K130" t="s">
        <v>643</v>
      </c>
      <c r="L130" t="s">
        <v>644</v>
      </c>
      <c r="M130" t="s">
        <v>645</v>
      </c>
      <c r="N130" t="s">
        <v>455</v>
      </c>
      <c r="O130" t="s">
        <v>455</v>
      </c>
      <c r="P130" t="s">
        <v>455</v>
      </c>
      <c r="Q130" t="s">
        <v>455</v>
      </c>
    </row>
    <row r="131" spans="1:17" x14ac:dyDescent="0.35">
      <c r="A131" s="1">
        <v>130</v>
      </c>
      <c r="B131" t="s">
        <v>137</v>
      </c>
      <c r="C131" t="s">
        <v>307</v>
      </c>
      <c r="D131">
        <v>2023</v>
      </c>
      <c r="E131" t="s">
        <v>1224</v>
      </c>
      <c r="F131" t="s">
        <v>190</v>
      </c>
      <c r="G131" t="s">
        <v>187</v>
      </c>
      <c r="H131">
        <v>891</v>
      </c>
      <c r="J131" t="s">
        <v>432</v>
      </c>
      <c r="K131" t="s">
        <v>646</v>
      </c>
      <c r="L131" t="s">
        <v>647</v>
      </c>
      <c r="M131" t="s">
        <v>648</v>
      </c>
      <c r="N131" t="s">
        <v>551</v>
      </c>
      <c r="O131" t="s">
        <v>649</v>
      </c>
      <c r="P131" t="s">
        <v>455</v>
      </c>
      <c r="Q131" t="s">
        <v>455</v>
      </c>
    </row>
    <row r="132" spans="1:17" x14ac:dyDescent="0.35">
      <c r="A132" s="1">
        <v>131</v>
      </c>
      <c r="B132" t="s">
        <v>138</v>
      </c>
      <c r="C132" t="s">
        <v>179</v>
      </c>
      <c r="D132">
        <v>2023</v>
      </c>
      <c r="E132" t="s">
        <v>1224</v>
      </c>
      <c r="F132" t="s">
        <v>190</v>
      </c>
      <c r="G132" t="s">
        <v>188</v>
      </c>
      <c r="H132">
        <v>900</v>
      </c>
      <c r="J132" t="s">
        <v>179</v>
      </c>
      <c r="K132" t="s">
        <v>455</v>
      </c>
      <c r="L132" t="s">
        <v>455</v>
      </c>
      <c r="M132" t="s">
        <v>455</v>
      </c>
      <c r="N132" t="s">
        <v>455</v>
      </c>
      <c r="O132" t="s">
        <v>455</v>
      </c>
      <c r="P132" t="s">
        <v>455</v>
      </c>
      <c r="Q132" t="s">
        <v>455</v>
      </c>
    </row>
    <row r="133" spans="1:17" x14ac:dyDescent="0.35">
      <c r="A133" s="1">
        <v>132</v>
      </c>
      <c r="B133" t="s">
        <v>139</v>
      </c>
      <c r="C133" t="s">
        <v>180</v>
      </c>
      <c r="D133">
        <v>2023</v>
      </c>
      <c r="E133" t="s">
        <v>1224</v>
      </c>
      <c r="F133" t="s">
        <v>191</v>
      </c>
      <c r="G133" t="s">
        <v>187</v>
      </c>
      <c r="H133">
        <v>903</v>
      </c>
      <c r="J133" t="s">
        <v>180</v>
      </c>
      <c r="K133" t="s">
        <v>455</v>
      </c>
      <c r="L133" t="s">
        <v>455</v>
      </c>
      <c r="M133" t="s">
        <v>455</v>
      </c>
      <c r="N133" t="s">
        <v>455</v>
      </c>
      <c r="O133" t="s">
        <v>455</v>
      </c>
      <c r="P133" t="s">
        <v>455</v>
      </c>
      <c r="Q133" t="s">
        <v>455</v>
      </c>
    </row>
    <row r="134" spans="1:17" x14ac:dyDescent="0.35">
      <c r="A134" s="1">
        <v>133</v>
      </c>
      <c r="B134" t="s">
        <v>140</v>
      </c>
      <c r="C134" t="s">
        <v>181</v>
      </c>
      <c r="D134">
        <v>2023</v>
      </c>
      <c r="E134" t="s">
        <v>1224</v>
      </c>
      <c r="F134" t="s">
        <v>191</v>
      </c>
      <c r="G134" t="s">
        <v>187</v>
      </c>
      <c r="H134">
        <v>912</v>
      </c>
      <c r="J134" t="s">
        <v>181</v>
      </c>
      <c r="K134" t="s">
        <v>455</v>
      </c>
      <c r="L134" t="s">
        <v>455</v>
      </c>
      <c r="M134" t="s">
        <v>455</v>
      </c>
      <c r="N134" t="s">
        <v>455</v>
      </c>
      <c r="O134" t="s">
        <v>455</v>
      </c>
      <c r="P134" t="s">
        <v>455</v>
      </c>
      <c r="Q134" t="s">
        <v>455</v>
      </c>
    </row>
    <row r="135" spans="1:17" x14ac:dyDescent="0.35">
      <c r="A135" s="1">
        <v>134</v>
      </c>
      <c r="B135" t="s">
        <v>141</v>
      </c>
      <c r="C135" t="s">
        <v>308</v>
      </c>
      <c r="D135">
        <v>2023</v>
      </c>
      <c r="E135" t="s">
        <v>1224</v>
      </c>
      <c r="F135" t="s">
        <v>191</v>
      </c>
      <c r="G135" t="s">
        <v>187</v>
      </c>
      <c r="H135">
        <v>922</v>
      </c>
      <c r="J135" t="s">
        <v>349</v>
      </c>
      <c r="K135" t="s">
        <v>650</v>
      </c>
      <c r="L135" t="s">
        <v>651</v>
      </c>
      <c r="M135" t="s">
        <v>652</v>
      </c>
      <c r="N135" t="s">
        <v>653</v>
      </c>
      <c r="O135" t="s">
        <v>654</v>
      </c>
      <c r="P135" t="s">
        <v>655</v>
      </c>
      <c r="Q135" t="s">
        <v>656</v>
      </c>
    </row>
    <row r="136" spans="1:17" x14ac:dyDescent="0.35">
      <c r="A136" s="1">
        <v>135</v>
      </c>
      <c r="B136" t="s">
        <v>142</v>
      </c>
      <c r="C136" t="s">
        <v>182</v>
      </c>
      <c r="D136">
        <v>2023</v>
      </c>
      <c r="E136" t="s">
        <v>1224</v>
      </c>
      <c r="F136" t="s">
        <v>191</v>
      </c>
      <c r="G136" t="s">
        <v>187</v>
      </c>
      <c r="H136">
        <v>925</v>
      </c>
      <c r="J136" t="s">
        <v>182</v>
      </c>
      <c r="K136" t="s">
        <v>455</v>
      </c>
      <c r="L136" t="s">
        <v>455</v>
      </c>
      <c r="M136" t="s">
        <v>455</v>
      </c>
      <c r="N136" t="s">
        <v>455</v>
      </c>
      <c r="O136" t="s">
        <v>455</v>
      </c>
      <c r="P136" t="s">
        <v>455</v>
      </c>
      <c r="Q136" t="s">
        <v>455</v>
      </c>
    </row>
    <row r="137" spans="1:17" x14ac:dyDescent="0.35">
      <c r="A137" s="1">
        <v>136</v>
      </c>
      <c r="B137" t="s">
        <v>143</v>
      </c>
      <c r="C137" t="s">
        <v>183</v>
      </c>
      <c r="D137">
        <v>2023</v>
      </c>
      <c r="E137" t="s">
        <v>1224</v>
      </c>
      <c r="F137" t="s">
        <v>191</v>
      </c>
      <c r="G137" t="s">
        <v>188</v>
      </c>
      <c r="H137">
        <v>930</v>
      </c>
      <c r="J137" t="s">
        <v>183</v>
      </c>
      <c r="K137" t="s">
        <v>455</v>
      </c>
      <c r="L137" t="s">
        <v>455</v>
      </c>
      <c r="M137" t="s">
        <v>455</v>
      </c>
      <c r="N137" t="s">
        <v>455</v>
      </c>
      <c r="O137" t="s">
        <v>455</v>
      </c>
      <c r="P137" t="s">
        <v>455</v>
      </c>
      <c r="Q137" t="s">
        <v>455</v>
      </c>
    </row>
    <row r="138" spans="1:17" x14ac:dyDescent="0.35">
      <c r="A138" s="1">
        <v>137</v>
      </c>
      <c r="B138" t="s">
        <v>144</v>
      </c>
      <c r="C138" t="s">
        <v>309</v>
      </c>
      <c r="D138">
        <v>2023</v>
      </c>
      <c r="E138" t="s">
        <v>1224</v>
      </c>
      <c r="F138" t="s">
        <v>191</v>
      </c>
      <c r="G138" t="s">
        <v>188</v>
      </c>
      <c r="H138">
        <v>933</v>
      </c>
      <c r="J138" t="s">
        <v>433</v>
      </c>
      <c r="K138" t="s">
        <v>657</v>
      </c>
      <c r="L138" t="s">
        <v>455</v>
      </c>
      <c r="M138" t="s">
        <v>455</v>
      </c>
      <c r="N138" t="s">
        <v>455</v>
      </c>
      <c r="O138" t="s">
        <v>455</v>
      </c>
      <c r="P138" t="s">
        <v>455</v>
      </c>
      <c r="Q138" t="s">
        <v>455</v>
      </c>
    </row>
    <row r="139" spans="1:17" x14ac:dyDescent="0.35">
      <c r="A139" s="1">
        <v>138</v>
      </c>
      <c r="B139" t="s">
        <v>145</v>
      </c>
      <c r="C139" t="s">
        <v>310</v>
      </c>
      <c r="D139">
        <v>2023</v>
      </c>
      <c r="E139" t="s">
        <v>1224</v>
      </c>
      <c r="F139" t="s">
        <v>192</v>
      </c>
      <c r="G139" t="s">
        <v>187</v>
      </c>
      <c r="H139">
        <v>936</v>
      </c>
      <c r="J139" t="s">
        <v>434</v>
      </c>
      <c r="K139" t="s">
        <v>658</v>
      </c>
      <c r="L139" t="s">
        <v>659</v>
      </c>
      <c r="M139" t="s">
        <v>660</v>
      </c>
      <c r="N139" t="s">
        <v>661</v>
      </c>
      <c r="O139" t="s">
        <v>662</v>
      </c>
      <c r="P139" t="s">
        <v>455</v>
      </c>
      <c r="Q139" t="s">
        <v>455</v>
      </c>
    </row>
    <row r="140" spans="1:17" x14ac:dyDescent="0.35">
      <c r="A140" s="1">
        <v>139</v>
      </c>
      <c r="B140" t="s">
        <v>146</v>
      </c>
      <c r="C140" t="s">
        <v>311</v>
      </c>
      <c r="D140">
        <v>2023</v>
      </c>
      <c r="E140" t="s">
        <v>1224</v>
      </c>
      <c r="F140" t="s">
        <v>192</v>
      </c>
      <c r="G140" t="s">
        <v>187</v>
      </c>
      <c r="H140">
        <v>939</v>
      </c>
      <c r="J140" t="s">
        <v>435</v>
      </c>
      <c r="K140" t="s">
        <v>663</v>
      </c>
      <c r="L140" t="s">
        <v>455</v>
      </c>
      <c r="M140" t="s">
        <v>455</v>
      </c>
      <c r="N140" t="s">
        <v>455</v>
      </c>
      <c r="O140" t="s">
        <v>455</v>
      </c>
      <c r="P140" t="s">
        <v>455</v>
      </c>
      <c r="Q140" t="s">
        <v>455</v>
      </c>
    </row>
    <row r="141" spans="1:17" x14ac:dyDescent="0.35">
      <c r="A141" s="1">
        <v>140</v>
      </c>
      <c r="B141" t="s">
        <v>147</v>
      </c>
      <c r="C141" t="s">
        <v>184</v>
      </c>
      <c r="D141">
        <v>2023</v>
      </c>
      <c r="E141" t="s">
        <v>1224</v>
      </c>
      <c r="F141" t="s">
        <v>192</v>
      </c>
      <c r="G141" t="s">
        <v>187</v>
      </c>
      <c r="H141">
        <v>948</v>
      </c>
      <c r="J141" t="s">
        <v>184</v>
      </c>
      <c r="K141" t="s">
        <v>455</v>
      </c>
      <c r="L141" t="s">
        <v>455</v>
      </c>
      <c r="M141" t="s">
        <v>455</v>
      </c>
      <c r="N141" t="s">
        <v>455</v>
      </c>
      <c r="O141" t="s">
        <v>455</v>
      </c>
      <c r="P141" t="s">
        <v>455</v>
      </c>
      <c r="Q141" t="s">
        <v>455</v>
      </c>
    </row>
    <row r="142" spans="1:17" x14ac:dyDescent="0.35">
      <c r="A142" s="1">
        <v>141</v>
      </c>
      <c r="B142" t="s">
        <v>148</v>
      </c>
      <c r="C142" t="s">
        <v>312</v>
      </c>
      <c r="D142">
        <v>2023</v>
      </c>
      <c r="E142" t="s">
        <v>1224</v>
      </c>
      <c r="F142" t="s">
        <v>192</v>
      </c>
      <c r="G142" t="s">
        <v>188</v>
      </c>
      <c r="H142">
        <v>956</v>
      </c>
      <c r="J142" t="s">
        <v>436</v>
      </c>
      <c r="K142" t="s">
        <v>574</v>
      </c>
      <c r="L142" t="s">
        <v>664</v>
      </c>
      <c r="M142" t="s">
        <v>455</v>
      </c>
      <c r="N142" t="s">
        <v>455</v>
      </c>
      <c r="O142" t="s">
        <v>455</v>
      </c>
      <c r="P142" t="s">
        <v>455</v>
      </c>
      <c r="Q142" t="s">
        <v>455</v>
      </c>
    </row>
    <row r="143" spans="1:17" x14ac:dyDescent="0.35">
      <c r="A143" s="1">
        <v>142</v>
      </c>
      <c r="B143" t="s">
        <v>149</v>
      </c>
      <c r="C143" t="s">
        <v>313</v>
      </c>
      <c r="D143">
        <v>2023</v>
      </c>
      <c r="E143" t="s">
        <v>1224</v>
      </c>
      <c r="F143" t="s">
        <v>192</v>
      </c>
      <c r="G143" t="s">
        <v>188</v>
      </c>
      <c r="H143">
        <v>965</v>
      </c>
      <c r="J143" t="s">
        <v>437</v>
      </c>
      <c r="K143" t="s">
        <v>665</v>
      </c>
      <c r="L143" t="s">
        <v>455</v>
      </c>
      <c r="M143" t="s">
        <v>455</v>
      </c>
      <c r="N143" t="s">
        <v>455</v>
      </c>
      <c r="O143" t="s">
        <v>455</v>
      </c>
      <c r="P143" t="s">
        <v>455</v>
      </c>
      <c r="Q143" t="s">
        <v>455</v>
      </c>
    </row>
    <row r="144" spans="1:17" x14ac:dyDescent="0.35">
      <c r="A144" s="1">
        <v>143</v>
      </c>
      <c r="B144" t="s">
        <v>150</v>
      </c>
      <c r="C144" t="s">
        <v>185</v>
      </c>
      <c r="D144">
        <v>2023</v>
      </c>
      <c r="E144" t="s">
        <v>1224</v>
      </c>
      <c r="F144" t="s">
        <v>193</v>
      </c>
      <c r="H144">
        <v>974</v>
      </c>
      <c r="J144" t="s">
        <v>185</v>
      </c>
      <c r="K144" t="s">
        <v>455</v>
      </c>
      <c r="L144" t="s">
        <v>455</v>
      </c>
      <c r="M144" t="s">
        <v>455</v>
      </c>
      <c r="N144" t="s">
        <v>455</v>
      </c>
      <c r="O144" t="s">
        <v>455</v>
      </c>
      <c r="P144" t="s">
        <v>455</v>
      </c>
      <c r="Q144" t="s">
        <v>455</v>
      </c>
    </row>
    <row r="145" spans="1:17" x14ac:dyDescent="0.35">
      <c r="A145" s="1">
        <v>144</v>
      </c>
      <c r="B145" t="s">
        <v>151</v>
      </c>
      <c r="C145" t="s">
        <v>314</v>
      </c>
      <c r="D145">
        <v>2023</v>
      </c>
      <c r="E145" t="s">
        <v>1224</v>
      </c>
      <c r="F145" t="s">
        <v>193</v>
      </c>
      <c r="H145">
        <v>974</v>
      </c>
      <c r="J145" t="s">
        <v>438</v>
      </c>
      <c r="K145" t="s">
        <v>666</v>
      </c>
      <c r="L145" t="s">
        <v>455</v>
      </c>
      <c r="M145" t="s">
        <v>455</v>
      </c>
      <c r="N145" t="s">
        <v>455</v>
      </c>
      <c r="O145" t="s">
        <v>455</v>
      </c>
      <c r="P145" t="s">
        <v>455</v>
      </c>
      <c r="Q145" t="s">
        <v>455</v>
      </c>
    </row>
    <row r="146" spans="1:17" x14ac:dyDescent="0.35">
      <c r="A146" s="1">
        <v>145</v>
      </c>
      <c r="B146" t="s">
        <v>152</v>
      </c>
      <c r="C146" t="s">
        <v>315</v>
      </c>
      <c r="D146">
        <v>2023</v>
      </c>
      <c r="E146" t="s">
        <v>1224</v>
      </c>
      <c r="F146" t="s">
        <v>193</v>
      </c>
      <c r="H146">
        <v>974</v>
      </c>
      <c r="J146" t="s">
        <v>439</v>
      </c>
      <c r="K146" t="s">
        <v>667</v>
      </c>
      <c r="L146" t="s">
        <v>668</v>
      </c>
      <c r="M146" t="s">
        <v>514</v>
      </c>
      <c r="N146" t="s">
        <v>455</v>
      </c>
      <c r="O146" t="s">
        <v>455</v>
      </c>
      <c r="P146" t="s">
        <v>455</v>
      </c>
      <c r="Q146" t="s">
        <v>455</v>
      </c>
    </row>
    <row r="147" spans="1:17" x14ac:dyDescent="0.35">
      <c r="A147" s="1">
        <v>146</v>
      </c>
      <c r="B147" t="s">
        <v>153</v>
      </c>
      <c r="C147" t="s">
        <v>289</v>
      </c>
      <c r="D147">
        <v>2023</v>
      </c>
      <c r="E147" t="s">
        <v>1224</v>
      </c>
      <c r="F147" t="s">
        <v>193</v>
      </c>
      <c r="H147">
        <v>974</v>
      </c>
      <c r="J147" t="s">
        <v>414</v>
      </c>
      <c r="K147" t="s">
        <v>615</v>
      </c>
      <c r="L147" t="s">
        <v>455</v>
      </c>
      <c r="M147" t="s">
        <v>455</v>
      </c>
      <c r="N147" t="s">
        <v>455</v>
      </c>
      <c r="O147" t="s">
        <v>455</v>
      </c>
      <c r="P147" t="s">
        <v>455</v>
      </c>
      <c r="Q147" t="s">
        <v>455</v>
      </c>
    </row>
    <row r="148" spans="1:17" x14ac:dyDescent="0.35">
      <c r="A148" s="1">
        <v>147</v>
      </c>
      <c r="B148" t="s">
        <v>154</v>
      </c>
      <c r="C148" t="s">
        <v>316</v>
      </c>
      <c r="D148">
        <v>2023</v>
      </c>
      <c r="E148" t="s">
        <v>1224</v>
      </c>
      <c r="F148" t="s">
        <v>193</v>
      </c>
      <c r="H148">
        <v>974</v>
      </c>
      <c r="J148" t="s">
        <v>440</v>
      </c>
      <c r="K148" t="s">
        <v>669</v>
      </c>
      <c r="L148" t="s">
        <v>455</v>
      </c>
      <c r="M148" t="s">
        <v>455</v>
      </c>
      <c r="N148" t="s">
        <v>455</v>
      </c>
      <c r="O148" t="s">
        <v>455</v>
      </c>
      <c r="P148" t="s">
        <v>455</v>
      </c>
      <c r="Q148" t="s">
        <v>455</v>
      </c>
    </row>
    <row r="149" spans="1:17" x14ac:dyDescent="0.35">
      <c r="A149" s="1">
        <v>148</v>
      </c>
      <c r="B149" t="s">
        <v>155</v>
      </c>
      <c r="C149" t="s">
        <v>317</v>
      </c>
      <c r="D149">
        <v>2023</v>
      </c>
      <c r="E149" t="s">
        <v>1224</v>
      </c>
      <c r="F149" t="s">
        <v>193</v>
      </c>
      <c r="H149">
        <v>974</v>
      </c>
      <c r="J149" t="s">
        <v>441</v>
      </c>
      <c r="K149" t="s">
        <v>670</v>
      </c>
      <c r="L149" t="s">
        <v>455</v>
      </c>
      <c r="M149" t="s">
        <v>455</v>
      </c>
      <c r="N149" t="s">
        <v>455</v>
      </c>
      <c r="O149" t="s">
        <v>455</v>
      </c>
      <c r="P149" t="s">
        <v>455</v>
      </c>
      <c r="Q149" t="s">
        <v>455</v>
      </c>
    </row>
    <row r="150" spans="1:17" x14ac:dyDescent="0.35">
      <c r="A150" s="1">
        <v>149</v>
      </c>
      <c r="B150" t="s">
        <v>156</v>
      </c>
      <c r="C150" t="s">
        <v>318</v>
      </c>
      <c r="D150">
        <v>2023</v>
      </c>
      <c r="E150" t="s">
        <v>1224</v>
      </c>
      <c r="F150" t="s">
        <v>193</v>
      </c>
      <c r="H150">
        <v>974</v>
      </c>
      <c r="J150" t="s">
        <v>442</v>
      </c>
      <c r="K150" t="s">
        <v>671</v>
      </c>
      <c r="L150" t="s">
        <v>672</v>
      </c>
      <c r="M150" t="s">
        <v>455</v>
      </c>
      <c r="N150" t="s">
        <v>455</v>
      </c>
      <c r="O150" t="s">
        <v>455</v>
      </c>
      <c r="P150" t="s">
        <v>455</v>
      </c>
      <c r="Q150" t="s">
        <v>455</v>
      </c>
    </row>
    <row r="151" spans="1:17" x14ac:dyDescent="0.35">
      <c r="A151" s="1">
        <v>150</v>
      </c>
      <c r="B151" t="s">
        <v>157</v>
      </c>
      <c r="C151" t="s">
        <v>319</v>
      </c>
      <c r="D151">
        <v>2023</v>
      </c>
      <c r="E151" t="s">
        <v>1224</v>
      </c>
      <c r="F151" t="s">
        <v>193</v>
      </c>
      <c r="H151">
        <v>974</v>
      </c>
      <c r="J151" t="s">
        <v>443</v>
      </c>
      <c r="K151" t="s">
        <v>673</v>
      </c>
      <c r="L151" t="s">
        <v>674</v>
      </c>
      <c r="M151" t="s">
        <v>675</v>
      </c>
      <c r="N151" t="s">
        <v>455</v>
      </c>
      <c r="O151" t="s">
        <v>455</v>
      </c>
      <c r="P151" t="s">
        <v>455</v>
      </c>
      <c r="Q151" t="s">
        <v>455</v>
      </c>
    </row>
    <row r="152" spans="1:17" x14ac:dyDescent="0.35">
      <c r="A152" s="1">
        <v>151</v>
      </c>
      <c r="B152" t="s">
        <v>158</v>
      </c>
      <c r="C152" t="s">
        <v>320</v>
      </c>
      <c r="D152">
        <v>2023</v>
      </c>
      <c r="E152" t="s">
        <v>1224</v>
      </c>
      <c r="F152" t="s">
        <v>193</v>
      </c>
      <c r="H152">
        <v>974</v>
      </c>
      <c r="J152" t="s">
        <v>444</v>
      </c>
      <c r="K152" t="s">
        <v>676</v>
      </c>
      <c r="L152" t="s">
        <v>677</v>
      </c>
      <c r="M152" t="s">
        <v>455</v>
      </c>
      <c r="N152" t="s">
        <v>455</v>
      </c>
      <c r="O152" t="s">
        <v>455</v>
      </c>
      <c r="P152" t="s">
        <v>455</v>
      </c>
      <c r="Q152" t="s">
        <v>455</v>
      </c>
    </row>
    <row r="153" spans="1:17" x14ac:dyDescent="0.35">
      <c r="A153" s="1">
        <v>152</v>
      </c>
      <c r="B153" t="s">
        <v>723</v>
      </c>
      <c r="C153" t="s">
        <v>678</v>
      </c>
      <c r="D153">
        <v>2022</v>
      </c>
      <c r="E153" t="s">
        <v>919</v>
      </c>
      <c r="F153" t="s">
        <v>186</v>
      </c>
      <c r="H153">
        <v>1</v>
      </c>
      <c r="J153" t="s">
        <v>678</v>
      </c>
    </row>
    <row r="154" spans="1:17" x14ac:dyDescent="0.35">
      <c r="A154" s="1">
        <v>153</v>
      </c>
      <c r="B154" t="s">
        <v>724</v>
      </c>
      <c r="C154" t="s">
        <v>679</v>
      </c>
      <c r="D154">
        <v>2022</v>
      </c>
      <c r="E154" t="s">
        <v>919</v>
      </c>
      <c r="F154" t="s">
        <v>186</v>
      </c>
      <c r="H154">
        <v>7</v>
      </c>
      <c r="J154" t="s">
        <v>679</v>
      </c>
    </row>
    <row r="155" spans="1:17" x14ac:dyDescent="0.35">
      <c r="A155" s="1">
        <v>154</v>
      </c>
      <c r="B155" t="s">
        <v>725</v>
      </c>
      <c r="C155" t="s">
        <v>922</v>
      </c>
      <c r="D155">
        <v>2022</v>
      </c>
      <c r="E155" t="s">
        <v>919</v>
      </c>
      <c r="F155" t="s">
        <v>186</v>
      </c>
      <c r="H155">
        <v>16</v>
      </c>
      <c r="J155" t="s">
        <v>543</v>
      </c>
      <c r="K155" t="s">
        <v>820</v>
      </c>
      <c r="L155" t="s">
        <v>686</v>
      </c>
      <c r="M155" t="s">
        <v>821</v>
      </c>
    </row>
    <row r="156" spans="1:17" x14ac:dyDescent="0.35">
      <c r="A156" s="1">
        <v>155</v>
      </c>
      <c r="B156" t="s">
        <v>726</v>
      </c>
      <c r="C156" t="s">
        <v>923</v>
      </c>
      <c r="D156">
        <v>2022</v>
      </c>
      <c r="E156" t="s">
        <v>919</v>
      </c>
      <c r="F156" t="s">
        <v>186</v>
      </c>
      <c r="H156">
        <v>19</v>
      </c>
      <c r="J156" t="s">
        <v>584</v>
      </c>
      <c r="K156" t="s">
        <v>822</v>
      </c>
    </row>
    <row r="157" spans="1:17" x14ac:dyDescent="0.35">
      <c r="A157" s="1">
        <v>156</v>
      </c>
      <c r="B157" t="s">
        <v>727</v>
      </c>
      <c r="C157" t="s">
        <v>924</v>
      </c>
      <c r="D157">
        <v>2022</v>
      </c>
      <c r="E157" t="s">
        <v>919</v>
      </c>
      <c r="F157" t="s">
        <v>186</v>
      </c>
      <c r="H157">
        <v>28</v>
      </c>
      <c r="J157" t="s">
        <v>804</v>
      </c>
      <c r="K157" t="s">
        <v>823</v>
      </c>
    </row>
    <row r="158" spans="1:17" x14ac:dyDescent="0.35">
      <c r="A158" s="1">
        <v>157</v>
      </c>
      <c r="B158" t="s">
        <v>728</v>
      </c>
      <c r="C158" t="s">
        <v>925</v>
      </c>
      <c r="D158">
        <v>2022</v>
      </c>
      <c r="E158" t="s">
        <v>919</v>
      </c>
      <c r="F158" t="s">
        <v>186</v>
      </c>
      <c r="H158">
        <v>37</v>
      </c>
      <c r="J158" t="s">
        <v>178</v>
      </c>
      <c r="K158" t="s">
        <v>824</v>
      </c>
      <c r="L158" t="s">
        <v>825</v>
      </c>
      <c r="M158" t="s">
        <v>826</v>
      </c>
    </row>
    <row r="159" spans="1:17" x14ac:dyDescent="0.35">
      <c r="A159" s="1">
        <v>158</v>
      </c>
      <c r="B159" t="s">
        <v>729</v>
      </c>
      <c r="C159" t="s">
        <v>926</v>
      </c>
      <c r="D159">
        <v>2022</v>
      </c>
      <c r="E159" t="s">
        <v>919</v>
      </c>
      <c r="F159" t="s">
        <v>186</v>
      </c>
      <c r="H159">
        <v>40</v>
      </c>
      <c r="J159" t="s">
        <v>805</v>
      </c>
      <c r="K159" t="s">
        <v>442</v>
      </c>
    </row>
    <row r="160" spans="1:17" x14ac:dyDescent="0.35">
      <c r="A160" s="1">
        <v>159</v>
      </c>
      <c r="B160" t="s">
        <v>730</v>
      </c>
      <c r="C160" t="s">
        <v>235</v>
      </c>
      <c r="D160">
        <v>2022</v>
      </c>
      <c r="E160" t="s">
        <v>919</v>
      </c>
      <c r="F160" t="s">
        <v>186</v>
      </c>
      <c r="H160">
        <v>43</v>
      </c>
      <c r="J160" t="s">
        <v>361</v>
      </c>
      <c r="K160" t="s">
        <v>535</v>
      </c>
    </row>
    <row r="161" spans="1:23" x14ac:dyDescent="0.35">
      <c r="A161" s="1">
        <v>160</v>
      </c>
      <c r="B161" t="s">
        <v>731</v>
      </c>
      <c r="C161" t="s">
        <v>927</v>
      </c>
      <c r="D161">
        <v>2022</v>
      </c>
      <c r="E161" t="s">
        <v>919</v>
      </c>
      <c r="F161" t="s">
        <v>186</v>
      </c>
      <c r="H161">
        <v>52</v>
      </c>
      <c r="J161" t="s">
        <v>369</v>
      </c>
      <c r="K161" t="s">
        <v>381</v>
      </c>
      <c r="L161" t="s">
        <v>571</v>
      </c>
      <c r="M161" t="s">
        <v>543</v>
      </c>
    </row>
    <row r="162" spans="1:23" x14ac:dyDescent="0.35">
      <c r="A162" s="1">
        <v>161</v>
      </c>
      <c r="B162" t="s">
        <v>732</v>
      </c>
      <c r="C162" t="s">
        <v>928</v>
      </c>
      <c r="D162">
        <v>2022</v>
      </c>
      <c r="E162" t="s">
        <v>919</v>
      </c>
      <c r="F162" t="s">
        <v>186</v>
      </c>
      <c r="H162">
        <v>61</v>
      </c>
      <c r="J162" t="s">
        <v>680</v>
      </c>
      <c r="K162" t="s">
        <v>827</v>
      </c>
      <c r="L162" t="s">
        <v>828</v>
      </c>
      <c r="M162" t="s">
        <v>543</v>
      </c>
    </row>
    <row r="163" spans="1:23" x14ac:dyDescent="0.35">
      <c r="A163" s="1">
        <v>162</v>
      </c>
      <c r="B163" t="s">
        <v>733</v>
      </c>
      <c r="C163" t="s">
        <v>929</v>
      </c>
      <c r="D163">
        <v>2022</v>
      </c>
      <c r="E163" t="s">
        <v>919</v>
      </c>
      <c r="F163" t="s">
        <v>186</v>
      </c>
      <c r="H163">
        <v>71</v>
      </c>
      <c r="J163" t="s">
        <v>681</v>
      </c>
      <c r="K163" t="s">
        <v>829</v>
      </c>
      <c r="L163" t="s">
        <v>543</v>
      </c>
    </row>
    <row r="164" spans="1:23" x14ac:dyDescent="0.35">
      <c r="A164" s="1">
        <v>163</v>
      </c>
      <c r="B164" t="s">
        <v>734</v>
      </c>
      <c r="C164" t="s">
        <v>930</v>
      </c>
      <c r="D164">
        <v>2022</v>
      </c>
      <c r="E164" t="s">
        <v>919</v>
      </c>
      <c r="F164" t="s">
        <v>186</v>
      </c>
      <c r="H164">
        <v>80</v>
      </c>
      <c r="J164" t="s">
        <v>494</v>
      </c>
      <c r="K164" t="s">
        <v>830</v>
      </c>
      <c r="L164" t="s">
        <v>831</v>
      </c>
    </row>
    <row r="165" spans="1:23" x14ac:dyDescent="0.35">
      <c r="A165" s="1">
        <v>164</v>
      </c>
      <c r="B165" t="s">
        <v>735</v>
      </c>
      <c r="C165" t="s">
        <v>931</v>
      </c>
      <c r="D165">
        <v>2022</v>
      </c>
      <c r="E165" t="s">
        <v>919</v>
      </c>
      <c r="F165" t="s">
        <v>186</v>
      </c>
      <c r="H165">
        <v>89</v>
      </c>
      <c r="J165" t="s">
        <v>682</v>
      </c>
      <c r="K165" t="s">
        <v>625</v>
      </c>
      <c r="L165" t="s">
        <v>832</v>
      </c>
      <c r="M165" t="s">
        <v>184</v>
      </c>
    </row>
    <row r="166" spans="1:23" x14ac:dyDescent="0.35">
      <c r="A166" s="1">
        <v>165</v>
      </c>
      <c r="B166" t="s">
        <v>736</v>
      </c>
      <c r="C166" t="s">
        <v>932</v>
      </c>
      <c r="D166">
        <v>2022</v>
      </c>
      <c r="E166" t="s">
        <v>919</v>
      </c>
      <c r="F166" t="s">
        <v>186</v>
      </c>
      <c r="H166">
        <v>98</v>
      </c>
      <c r="J166" t="s">
        <v>683</v>
      </c>
      <c r="K166" t="s">
        <v>833</v>
      </c>
      <c r="L166" t="s">
        <v>625</v>
      </c>
      <c r="M166" t="s">
        <v>834</v>
      </c>
    </row>
    <row r="167" spans="1:23" x14ac:dyDescent="0.35">
      <c r="A167" s="1">
        <v>166</v>
      </c>
      <c r="B167" t="s">
        <v>737</v>
      </c>
      <c r="C167" t="s">
        <v>933</v>
      </c>
      <c r="D167">
        <v>2022</v>
      </c>
      <c r="E167" t="s">
        <v>919</v>
      </c>
      <c r="F167" t="s">
        <v>186</v>
      </c>
      <c r="H167">
        <v>108</v>
      </c>
      <c r="J167" t="s">
        <v>806</v>
      </c>
      <c r="K167" t="s">
        <v>835</v>
      </c>
    </row>
    <row r="168" spans="1:23" x14ac:dyDescent="0.35">
      <c r="A168" s="1">
        <v>167</v>
      </c>
      <c r="B168" t="s">
        <v>738</v>
      </c>
      <c r="C168" t="s">
        <v>934</v>
      </c>
      <c r="D168">
        <v>2022</v>
      </c>
      <c r="E168" t="s">
        <v>919</v>
      </c>
      <c r="F168" t="s">
        <v>186</v>
      </c>
      <c r="H168">
        <v>117</v>
      </c>
      <c r="J168" t="s">
        <v>807</v>
      </c>
      <c r="K168" t="s">
        <v>836</v>
      </c>
    </row>
    <row r="169" spans="1:23" x14ac:dyDescent="0.35">
      <c r="A169" s="1">
        <v>168</v>
      </c>
      <c r="B169" t="s">
        <v>739</v>
      </c>
      <c r="C169" t="s">
        <v>935</v>
      </c>
      <c r="D169">
        <v>2022</v>
      </c>
      <c r="E169" t="s">
        <v>919</v>
      </c>
      <c r="F169" t="s">
        <v>186</v>
      </c>
      <c r="H169">
        <v>125</v>
      </c>
      <c r="J169" t="s">
        <v>434</v>
      </c>
      <c r="K169" t="s">
        <v>658</v>
      </c>
      <c r="L169" t="s">
        <v>662</v>
      </c>
    </row>
    <row r="170" spans="1:23" x14ac:dyDescent="0.35">
      <c r="A170" s="1">
        <v>169</v>
      </c>
      <c r="B170" t="s">
        <v>740</v>
      </c>
      <c r="C170" t="s">
        <v>936</v>
      </c>
      <c r="D170">
        <v>2022</v>
      </c>
      <c r="E170" t="s">
        <v>919</v>
      </c>
      <c r="F170" t="s">
        <v>186</v>
      </c>
      <c r="H170">
        <v>133</v>
      </c>
      <c r="J170" t="s">
        <v>684</v>
      </c>
      <c r="K170" t="s">
        <v>837</v>
      </c>
      <c r="L170" t="s">
        <v>838</v>
      </c>
      <c r="M170" t="s">
        <v>540</v>
      </c>
    </row>
    <row r="171" spans="1:23" x14ac:dyDescent="0.35">
      <c r="A171" s="1">
        <v>170</v>
      </c>
      <c r="B171" t="s">
        <v>741</v>
      </c>
      <c r="C171" t="s">
        <v>937</v>
      </c>
      <c r="D171">
        <v>2022</v>
      </c>
      <c r="E171" t="s">
        <v>919</v>
      </c>
      <c r="F171" t="s">
        <v>186</v>
      </c>
      <c r="H171">
        <v>140</v>
      </c>
      <c r="J171" t="s">
        <v>685</v>
      </c>
      <c r="K171" t="s">
        <v>839</v>
      </c>
      <c r="L171" t="s">
        <v>840</v>
      </c>
      <c r="M171" t="s">
        <v>841</v>
      </c>
    </row>
    <row r="172" spans="1:23" x14ac:dyDescent="0.35">
      <c r="A172" s="1">
        <v>171</v>
      </c>
      <c r="B172" t="s">
        <v>742</v>
      </c>
      <c r="C172" t="s">
        <v>921</v>
      </c>
      <c r="D172">
        <v>2022</v>
      </c>
      <c r="E172" t="s">
        <v>919</v>
      </c>
      <c r="F172" t="s">
        <v>186</v>
      </c>
      <c r="H172">
        <v>143</v>
      </c>
      <c r="J172" t="s">
        <v>686</v>
      </c>
      <c r="K172" t="s">
        <v>842</v>
      </c>
      <c r="L172" t="s">
        <v>843</v>
      </c>
      <c r="M172" t="s">
        <v>567</v>
      </c>
    </row>
    <row r="173" spans="1:23" x14ac:dyDescent="0.35">
      <c r="A173" s="1">
        <v>172</v>
      </c>
      <c r="B173" t="s">
        <v>743</v>
      </c>
      <c r="C173" t="s">
        <v>938</v>
      </c>
      <c r="D173">
        <v>2022</v>
      </c>
      <c r="E173" t="s">
        <v>919</v>
      </c>
      <c r="F173" t="s">
        <v>186</v>
      </c>
      <c r="H173">
        <v>146</v>
      </c>
      <c r="J173" t="s">
        <v>687</v>
      </c>
      <c r="K173" t="s">
        <v>844</v>
      </c>
      <c r="L173" t="s">
        <v>845</v>
      </c>
      <c r="M173" t="s">
        <v>846</v>
      </c>
    </row>
    <row r="174" spans="1:23" x14ac:dyDescent="0.35">
      <c r="A174" s="1">
        <v>173</v>
      </c>
      <c r="B174" t="s">
        <v>744</v>
      </c>
      <c r="C174" t="s">
        <v>939</v>
      </c>
      <c r="D174">
        <v>2022</v>
      </c>
      <c r="E174" t="s">
        <v>919</v>
      </c>
      <c r="F174" t="s">
        <v>186</v>
      </c>
      <c r="H174">
        <v>155</v>
      </c>
      <c r="J174" t="s">
        <v>688</v>
      </c>
      <c r="K174" t="s">
        <v>602</v>
      </c>
      <c r="L174" t="s">
        <v>644</v>
      </c>
      <c r="M174" t="s">
        <v>847</v>
      </c>
      <c r="N174" t="s">
        <v>848</v>
      </c>
      <c r="O174" t="s">
        <v>849</v>
      </c>
      <c r="P174" t="s">
        <v>689</v>
      </c>
      <c r="Q174" t="s">
        <v>850</v>
      </c>
      <c r="R174" t="s">
        <v>851</v>
      </c>
      <c r="S174" t="s">
        <v>852</v>
      </c>
      <c r="T174" t="s">
        <v>853</v>
      </c>
      <c r="U174" t="s">
        <v>690</v>
      </c>
      <c r="V174" t="s">
        <v>691</v>
      </c>
      <c r="W174" t="s">
        <v>854</v>
      </c>
    </row>
    <row r="175" spans="1:23" x14ac:dyDescent="0.35">
      <c r="A175" s="1">
        <v>174</v>
      </c>
      <c r="B175" t="s">
        <v>745</v>
      </c>
      <c r="C175" t="s">
        <v>179</v>
      </c>
      <c r="D175">
        <v>2022</v>
      </c>
      <c r="E175" t="s">
        <v>919</v>
      </c>
      <c r="F175" t="s">
        <v>186</v>
      </c>
      <c r="H175">
        <v>165</v>
      </c>
      <c r="J175" t="s">
        <v>179</v>
      </c>
    </row>
    <row r="176" spans="1:23" x14ac:dyDescent="0.35">
      <c r="A176" s="1">
        <v>175</v>
      </c>
      <c r="B176" t="s">
        <v>746</v>
      </c>
      <c r="C176" t="s">
        <v>940</v>
      </c>
      <c r="D176">
        <v>2022</v>
      </c>
      <c r="E176" t="s">
        <v>919</v>
      </c>
      <c r="F176" t="s">
        <v>186</v>
      </c>
      <c r="H176">
        <v>168</v>
      </c>
      <c r="J176" t="s">
        <v>691</v>
      </c>
      <c r="K176" t="s">
        <v>847</v>
      </c>
      <c r="L176" t="s">
        <v>688</v>
      </c>
      <c r="M176" t="s">
        <v>852</v>
      </c>
      <c r="N176" t="s">
        <v>600</v>
      </c>
      <c r="O176" t="s">
        <v>850</v>
      </c>
      <c r="P176" t="s">
        <v>855</v>
      </c>
    </row>
    <row r="177" spans="1:13" x14ac:dyDescent="0.35">
      <c r="A177" s="1">
        <v>176</v>
      </c>
      <c r="B177" t="s">
        <v>747</v>
      </c>
      <c r="C177" t="s">
        <v>941</v>
      </c>
      <c r="D177">
        <v>2022</v>
      </c>
      <c r="E177" t="s">
        <v>919</v>
      </c>
      <c r="F177" t="s">
        <v>186</v>
      </c>
      <c r="H177">
        <v>171</v>
      </c>
      <c r="J177" t="s">
        <v>692</v>
      </c>
      <c r="K177" t="s">
        <v>856</v>
      </c>
      <c r="L177" t="s">
        <v>857</v>
      </c>
    </row>
    <row r="178" spans="1:13" x14ac:dyDescent="0.35">
      <c r="A178" s="1">
        <v>177</v>
      </c>
      <c r="B178" t="s">
        <v>748</v>
      </c>
      <c r="C178" t="s">
        <v>942</v>
      </c>
      <c r="D178">
        <v>2022</v>
      </c>
      <c r="E178" t="s">
        <v>919</v>
      </c>
      <c r="F178" t="s">
        <v>186</v>
      </c>
      <c r="H178">
        <v>180</v>
      </c>
      <c r="J178" t="s">
        <v>498</v>
      </c>
      <c r="K178" t="s">
        <v>338</v>
      </c>
      <c r="L178" t="s">
        <v>497</v>
      </c>
    </row>
    <row r="179" spans="1:13" x14ac:dyDescent="0.35">
      <c r="A179" s="1">
        <v>178</v>
      </c>
      <c r="B179" t="s">
        <v>749</v>
      </c>
      <c r="C179" t="s">
        <v>943</v>
      </c>
      <c r="D179">
        <v>2022</v>
      </c>
      <c r="E179" t="s">
        <v>919</v>
      </c>
      <c r="F179" t="s">
        <v>186</v>
      </c>
      <c r="H179">
        <v>189</v>
      </c>
      <c r="J179" t="s">
        <v>808</v>
      </c>
      <c r="K179" t="s">
        <v>459</v>
      </c>
    </row>
    <row r="180" spans="1:13" x14ac:dyDescent="0.35">
      <c r="A180" s="1">
        <v>179</v>
      </c>
      <c r="B180" t="s">
        <v>750</v>
      </c>
      <c r="C180" t="s">
        <v>944</v>
      </c>
      <c r="D180">
        <v>2022</v>
      </c>
      <c r="E180" t="s">
        <v>919</v>
      </c>
      <c r="F180" t="s">
        <v>186</v>
      </c>
      <c r="H180">
        <v>192</v>
      </c>
      <c r="J180" t="s">
        <v>693</v>
      </c>
      <c r="K180" t="s">
        <v>858</v>
      </c>
      <c r="L180" t="s">
        <v>857</v>
      </c>
    </row>
    <row r="181" spans="1:13" x14ac:dyDescent="0.35">
      <c r="A181" s="1">
        <v>180</v>
      </c>
      <c r="B181" t="s">
        <v>751</v>
      </c>
      <c r="C181" t="s">
        <v>945</v>
      </c>
      <c r="D181">
        <v>2022</v>
      </c>
      <c r="E181" t="s">
        <v>919</v>
      </c>
      <c r="F181" t="s">
        <v>186</v>
      </c>
      <c r="H181">
        <v>201</v>
      </c>
      <c r="J181" t="s">
        <v>694</v>
      </c>
      <c r="K181" t="s">
        <v>859</v>
      </c>
      <c r="L181" t="s">
        <v>860</v>
      </c>
      <c r="M181" t="s">
        <v>637</v>
      </c>
    </row>
    <row r="182" spans="1:13" x14ac:dyDescent="0.35">
      <c r="A182" s="1">
        <v>181</v>
      </c>
      <c r="B182" t="s">
        <v>752</v>
      </c>
      <c r="C182" t="s">
        <v>946</v>
      </c>
      <c r="D182">
        <v>2022</v>
      </c>
      <c r="E182" t="s">
        <v>919</v>
      </c>
      <c r="F182" t="s">
        <v>186</v>
      </c>
      <c r="H182">
        <v>211</v>
      </c>
      <c r="J182" t="s">
        <v>695</v>
      </c>
      <c r="K182" t="s">
        <v>861</v>
      </c>
      <c r="L182" t="s">
        <v>862</v>
      </c>
    </row>
    <row r="183" spans="1:13" x14ac:dyDescent="0.35">
      <c r="A183" s="1">
        <v>182</v>
      </c>
      <c r="B183" t="s">
        <v>753</v>
      </c>
      <c r="C183" t="s">
        <v>947</v>
      </c>
      <c r="D183">
        <v>2022</v>
      </c>
      <c r="E183" t="s">
        <v>919</v>
      </c>
      <c r="F183" t="s">
        <v>186</v>
      </c>
      <c r="H183">
        <v>214</v>
      </c>
      <c r="J183" t="s">
        <v>696</v>
      </c>
      <c r="K183" t="s">
        <v>863</v>
      </c>
      <c r="L183" t="s">
        <v>864</v>
      </c>
    </row>
    <row r="184" spans="1:13" x14ac:dyDescent="0.35">
      <c r="A184" s="1">
        <v>183</v>
      </c>
      <c r="B184" t="s">
        <v>754</v>
      </c>
      <c r="C184" t="s">
        <v>948</v>
      </c>
      <c r="D184">
        <v>2022</v>
      </c>
      <c r="E184" t="s">
        <v>919</v>
      </c>
      <c r="F184" t="s">
        <v>186</v>
      </c>
      <c r="H184">
        <v>223</v>
      </c>
      <c r="J184" t="s">
        <v>697</v>
      </c>
      <c r="K184" t="s">
        <v>865</v>
      </c>
      <c r="L184" t="s">
        <v>862</v>
      </c>
    </row>
    <row r="185" spans="1:13" x14ac:dyDescent="0.35">
      <c r="A185" s="1">
        <v>184</v>
      </c>
      <c r="B185" t="s">
        <v>755</v>
      </c>
      <c r="C185" t="s">
        <v>949</v>
      </c>
      <c r="D185">
        <v>2022</v>
      </c>
      <c r="E185" t="s">
        <v>919</v>
      </c>
      <c r="F185" t="s">
        <v>186</v>
      </c>
      <c r="H185">
        <v>231</v>
      </c>
      <c r="J185" t="s">
        <v>494</v>
      </c>
      <c r="K185" t="s">
        <v>336</v>
      </c>
    </row>
    <row r="186" spans="1:13" x14ac:dyDescent="0.35">
      <c r="A186" s="1">
        <v>185</v>
      </c>
      <c r="B186" t="s">
        <v>756</v>
      </c>
      <c r="C186" t="s">
        <v>950</v>
      </c>
      <c r="D186">
        <v>2022</v>
      </c>
      <c r="E186" t="s">
        <v>919</v>
      </c>
      <c r="F186" t="s">
        <v>186</v>
      </c>
      <c r="H186">
        <v>241</v>
      </c>
      <c r="J186" t="s">
        <v>809</v>
      </c>
      <c r="K186" t="s">
        <v>178</v>
      </c>
    </row>
    <row r="187" spans="1:13" x14ac:dyDescent="0.35">
      <c r="A187" s="1">
        <v>186</v>
      </c>
      <c r="B187" t="s">
        <v>757</v>
      </c>
      <c r="C187" t="s">
        <v>951</v>
      </c>
      <c r="D187">
        <v>2022</v>
      </c>
      <c r="E187" t="s">
        <v>919</v>
      </c>
      <c r="F187" t="s">
        <v>186</v>
      </c>
      <c r="H187">
        <v>244</v>
      </c>
      <c r="J187" t="s">
        <v>699</v>
      </c>
      <c r="K187" t="s">
        <v>866</v>
      </c>
      <c r="L187" t="s">
        <v>867</v>
      </c>
      <c r="M187" t="s">
        <v>868</v>
      </c>
    </row>
    <row r="188" spans="1:13" x14ac:dyDescent="0.35">
      <c r="A188" s="1">
        <v>187</v>
      </c>
      <c r="B188" t="s">
        <v>758</v>
      </c>
      <c r="C188" t="s">
        <v>184</v>
      </c>
      <c r="D188">
        <v>2022</v>
      </c>
      <c r="E188" t="s">
        <v>919</v>
      </c>
      <c r="F188" t="s">
        <v>186</v>
      </c>
      <c r="H188">
        <v>246</v>
      </c>
      <c r="J188" t="s">
        <v>184</v>
      </c>
    </row>
    <row r="189" spans="1:13" x14ac:dyDescent="0.35">
      <c r="A189" s="1">
        <v>188</v>
      </c>
      <c r="B189" t="s">
        <v>759</v>
      </c>
      <c r="C189" t="s">
        <v>952</v>
      </c>
      <c r="D189">
        <v>2022</v>
      </c>
      <c r="E189" t="s">
        <v>919</v>
      </c>
      <c r="F189" t="s">
        <v>186</v>
      </c>
      <c r="H189">
        <v>256</v>
      </c>
      <c r="J189" t="s">
        <v>700</v>
      </c>
      <c r="K189" t="s">
        <v>869</v>
      </c>
      <c r="L189" t="s">
        <v>321</v>
      </c>
      <c r="M189" t="s">
        <v>565</v>
      </c>
    </row>
    <row r="190" spans="1:13" x14ac:dyDescent="0.35">
      <c r="A190" s="1">
        <v>189</v>
      </c>
      <c r="B190" t="s">
        <v>760</v>
      </c>
      <c r="C190" t="s">
        <v>953</v>
      </c>
      <c r="D190">
        <v>2022</v>
      </c>
      <c r="E190" t="s">
        <v>919</v>
      </c>
      <c r="F190" t="s">
        <v>186</v>
      </c>
      <c r="H190">
        <v>264</v>
      </c>
      <c r="J190" t="s">
        <v>701</v>
      </c>
      <c r="K190" t="s">
        <v>349</v>
      </c>
      <c r="L190" t="s">
        <v>679</v>
      </c>
    </row>
    <row r="191" spans="1:13" x14ac:dyDescent="0.35">
      <c r="A191" s="1">
        <v>190</v>
      </c>
      <c r="B191" t="s">
        <v>761</v>
      </c>
      <c r="C191" t="s">
        <v>954</v>
      </c>
      <c r="D191">
        <v>2022</v>
      </c>
      <c r="E191" t="s">
        <v>919</v>
      </c>
      <c r="F191" t="s">
        <v>186</v>
      </c>
      <c r="H191">
        <v>273</v>
      </c>
      <c r="J191" t="s">
        <v>810</v>
      </c>
      <c r="K191" t="s">
        <v>178</v>
      </c>
    </row>
    <row r="192" spans="1:13" x14ac:dyDescent="0.35">
      <c r="A192" s="1">
        <v>191</v>
      </c>
      <c r="B192" t="s">
        <v>762</v>
      </c>
      <c r="C192" t="s">
        <v>955</v>
      </c>
      <c r="D192">
        <v>2022</v>
      </c>
      <c r="E192" t="s">
        <v>919</v>
      </c>
      <c r="F192" t="s">
        <v>186</v>
      </c>
      <c r="H192">
        <v>276</v>
      </c>
      <c r="J192" t="s">
        <v>703</v>
      </c>
      <c r="K192" t="s">
        <v>704</v>
      </c>
      <c r="L192" t="s">
        <v>407</v>
      </c>
      <c r="M192" t="s">
        <v>178</v>
      </c>
    </row>
    <row r="193" spans="1:15" x14ac:dyDescent="0.35">
      <c r="A193" s="1">
        <v>192</v>
      </c>
      <c r="B193" t="s">
        <v>763</v>
      </c>
      <c r="C193" t="s">
        <v>514</v>
      </c>
      <c r="D193">
        <v>2022</v>
      </c>
      <c r="E193" t="s">
        <v>919</v>
      </c>
      <c r="F193" t="s">
        <v>186</v>
      </c>
      <c r="H193">
        <v>286</v>
      </c>
      <c r="J193" t="s">
        <v>514</v>
      </c>
    </row>
    <row r="194" spans="1:15" x14ac:dyDescent="0.35">
      <c r="A194" s="1">
        <v>193</v>
      </c>
      <c r="B194" t="s">
        <v>755</v>
      </c>
      <c r="C194" t="s">
        <v>956</v>
      </c>
      <c r="D194">
        <v>2022</v>
      </c>
      <c r="E194" t="s">
        <v>919</v>
      </c>
      <c r="F194" t="s">
        <v>186</v>
      </c>
      <c r="H194">
        <v>289</v>
      </c>
      <c r="J194" t="s">
        <v>811</v>
      </c>
      <c r="K194" t="s">
        <v>566</v>
      </c>
    </row>
    <row r="195" spans="1:15" x14ac:dyDescent="0.35">
      <c r="A195" s="1">
        <v>194</v>
      </c>
      <c r="B195" t="s">
        <v>764</v>
      </c>
      <c r="C195" t="s">
        <v>197</v>
      </c>
      <c r="D195">
        <v>2022</v>
      </c>
      <c r="E195" t="s">
        <v>919</v>
      </c>
      <c r="F195" t="s">
        <v>186</v>
      </c>
      <c r="H195">
        <v>292</v>
      </c>
      <c r="J195" t="s">
        <v>324</v>
      </c>
      <c r="K195" t="s">
        <v>459</v>
      </c>
      <c r="L195" t="s">
        <v>460</v>
      </c>
    </row>
    <row r="196" spans="1:15" x14ac:dyDescent="0.35">
      <c r="A196" s="1">
        <v>195</v>
      </c>
      <c r="B196" t="s">
        <v>765</v>
      </c>
      <c r="C196" t="s">
        <v>957</v>
      </c>
      <c r="D196">
        <v>2022</v>
      </c>
      <c r="E196" t="s">
        <v>919</v>
      </c>
      <c r="F196" t="s">
        <v>186</v>
      </c>
      <c r="H196">
        <v>295</v>
      </c>
      <c r="J196" t="s">
        <v>704</v>
      </c>
      <c r="K196" t="s">
        <v>824</v>
      </c>
      <c r="L196" t="s">
        <v>870</v>
      </c>
      <c r="M196" t="s">
        <v>871</v>
      </c>
      <c r="N196" t="s">
        <v>178</v>
      </c>
    </row>
    <row r="197" spans="1:15" x14ac:dyDescent="0.35">
      <c r="A197" s="1">
        <v>196</v>
      </c>
      <c r="B197" t="s">
        <v>766</v>
      </c>
      <c r="C197" t="s">
        <v>958</v>
      </c>
      <c r="D197">
        <v>2022</v>
      </c>
      <c r="E197" t="s">
        <v>919</v>
      </c>
      <c r="F197" t="s">
        <v>186</v>
      </c>
      <c r="H197">
        <v>298</v>
      </c>
      <c r="J197" t="s">
        <v>525</v>
      </c>
      <c r="K197" t="s">
        <v>872</v>
      </c>
      <c r="L197" t="s">
        <v>385</v>
      </c>
      <c r="M197" t="s">
        <v>526</v>
      </c>
    </row>
    <row r="198" spans="1:15" x14ac:dyDescent="0.35">
      <c r="A198" s="1">
        <v>197</v>
      </c>
      <c r="B198" t="s">
        <v>767</v>
      </c>
      <c r="C198" t="s">
        <v>956</v>
      </c>
      <c r="D198">
        <v>2022</v>
      </c>
      <c r="E198" t="s">
        <v>919</v>
      </c>
      <c r="F198" t="s">
        <v>186</v>
      </c>
      <c r="H198">
        <v>301</v>
      </c>
      <c r="J198" t="s">
        <v>811</v>
      </c>
      <c r="K198" t="s">
        <v>566</v>
      </c>
    </row>
    <row r="199" spans="1:15" x14ac:dyDescent="0.35">
      <c r="A199" s="1">
        <v>198</v>
      </c>
      <c r="B199" t="s">
        <v>768</v>
      </c>
      <c r="C199" t="s">
        <v>959</v>
      </c>
      <c r="D199">
        <v>2022</v>
      </c>
      <c r="E199" t="s">
        <v>919</v>
      </c>
      <c r="F199" t="s">
        <v>186</v>
      </c>
      <c r="H199">
        <v>310</v>
      </c>
      <c r="J199" t="s">
        <v>504</v>
      </c>
      <c r="K199" t="s">
        <v>873</v>
      </c>
    </row>
    <row r="200" spans="1:15" x14ac:dyDescent="0.35">
      <c r="A200" s="1">
        <v>199</v>
      </c>
      <c r="B200" t="s">
        <v>769</v>
      </c>
      <c r="C200" t="s">
        <v>960</v>
      </c>
      <c r="D200">
        <v>2022</v>
      </c>
      <c r="E200" t="s">
        <v>919</v>
      </c>
      <c r="F200" t="s">
        <v>186</v>
      </c>
      <c r="H200">
        <v>319</v>
      </c>
      <c r="J200" t="s">
        <v>705</v>
      </c>
      <c r="K200" t="s">
        <v>558</v>
      </c>
      <c r="L200" t="s">
        <v>411</v>
      </c>
    </row>
    <row r="201" spans="1:15" x14ac:dyDescent="0.35">
      <c r="A201" s="1">
        <v>200</v>
      </c>
      <c r="B201" t="s">
        <v>770</v>
      </c>
      <c r="C201" t="s">
        <v>961</v>
      </c>
      <c r="D201">
        <v>2022</v>
      </c>
      <c r="E201" t="s">
        <v>919</v>
      </c>
      <c r="F201" t="s">
        <v>186</v>
      </c>
      <c r="H201">
        <v>328</v>
      </c>
      <c r="J201" t="s">
        <v>498</v>
      </c>
      <c r="K201" t="s">
        <v>874</v>
      </c>
    </row>
    <row r="202" spans="1:15" x14ac:dyDescent="0.35">
      <c r="A202" s="1">
        <v>201</v>
      </c>
      <c r="B202" t="s">
        <v>771</v>
      </c>
      <c r="C202" t="s">
        <v>962</v>
      </c>
      <c r="D202">
        <v>2022</v>
      </c>
      <c r="E202" t="s">
        <v>919</v>
      </c>
      <c r="F202" t="s">
        <v>186</v>
      </c>
      <c r="H202">
        <v>337</v>
      </c>
      <c r="J202" t="s">
        <v>706</v>
      </c>
      <c r="K202" t="s">
        <v>385</v>
      </c>
      <c r="L202" t="s">
        <v>525</v>
      </c>
      <c r="M202" t="s">
        <v>526</v>
      </c>
    </row>
    <row r="203" spans="1:15" x14ac:dyDescent="0.35">
      <c r="A203" s="1">
        <v>202</v>
      </c>
      <c r="B203" t="s">
        <v>772</v>
      </c>
      <c r="C203" t="s">
        <v>963</v>
      </c>
      <c r="D203">
        <v>2022</v>
      </c>
      <c r="E203" t="s">
        <v>919</v>
      </c>
      <c r="F203" t="s">
        <v>186</v>
      </c>
      <c r="H203">
        <v>345</v>
      </c>
      <c r="J203" t="s">
        <v>707</v>
      </c>
      <c r="K203" t="s">
        <v>842</v>
      </c>
      <c r="L203" t="s">
        <v>610</v>
      </c>
      <c r="M203" t="s">
        <v>875</v>
      </c>
      <c r="N203" t="s">
        <v>876</v>
      </c>
      <c r="O203" t="s">
        <v>567</v>
      </c>
    </row>
    <row r="204" spans="1:15" x14ac:dyDescent="0.35">
      <c r="A204" s="1">
        <v>203</v>
      </c>
      <c r="B204" t="s">
        <v>773</v>
      </c>
      <c r="C204" t="s">
        <v>964</v>
      </c>
      <c r="D204">
        <v>2022</v>
      </c>
      <c r="E204" t="s">
        <v>919</v>
      </c>
      <c r="F204" t="s">
        <v>186</v>
      </c>
      <c r="H204">
        <v>354</v>
      </c>
      <c r="J204" t="s">
        <v>708</v>
      </c>
      <c r="K204" t="s">
        <v>636</v>
      </c>
      <c r="L204" t="s">
        <v>877</v>
      </c>
    </row>
    <row r="205" spans="1:15" x14ac:dyDescent="0.35">
      <c r="A205" s="1">
        <v>204</v>
      </c>
      <c r="B205" t="s">
        <v>774</v>
      </c>
      <c r="C205" t="s">
        <v>965</v>
      </c>
      <c r="D205">
        <v>2022</v>
      </c>
      <c r="E205" t="s">
        <v>919</v>
      </c>
      <c r="F205" t="s">
        <v>186</v>
      </c>
      <c r="H205">
        <v>362</v>
      </c>
      <c r="J205" t="s">
        <v>709</v>
      </c>
      <c r="K205" t="s">
        <v>878</v>
      </c>
      <c r="L205" t="s">
        <v>879</v>
      </c>
    </row>
    <row r="206" spans="1:15" x14ac:dyDescent="0.35">
      <c r="A206" s="1">
        <v>205</v>
      </c>
      <c r="B206" t="s">
        <v>775</v>
      </c>
      <c r="C206" t="s">
        <v>966</v>
      </c>
      <c r="D206">
        <v>2022</v>
      </c>
      <c r="E206" t="s">
        <v>919</v>
      </c>
      <c r="F206" t="s">
        <v>186</v>
      </c>
      <c r="H206">
        <v>371</v>
      </c>
      <c r="J206" t="s">
        <v>812</v>
      </c>
      <c r="K206" t="s">
        <v>179</v>
      </c>
    </row>
    <row r="207" spans="1:15" x14ac:dyDescent="0.35">
      <c r="A207" s="1">
        <v>206</v>
      </c>
      <c r="B207" t="s">
        <v>776</v>
      </c>
      <c r="C207" t="s">
        <v>287</v>
      </c>
      <c r="D207">
        <v>2022</v>
      </c>
      <c r="E207" t="s">
        <v>919</v>
      </c>
      <c r="F207" t="s">
        <v>186</v>
      </c>
      <c r="H207">
        <v>374</v>
      </c>
      <c r="J207" t="s">
        <v>412</v>
      </c>
      <c r="K207" t="s">
        <v>610</v>
      </c>
    </row>
    <row r="208" spans="1:15" x14ac:dyDescent="0.35">
      <c r="A208" s="1">
        <v>207</v>
      </c>
      <c r="B208" t="s">
        <v>777</v>
      </c>
      <c r="C208" t="s">
        <v>967</v>
      </c>
      <c r="D208">
        <v>2022</v>
      </c>
      <c r="E208" t="s">
        <v>919</v>
      </c>
      <c r="F208" t="s">
        <v>186</v>
      </c>
      <c r="H208">
        <v>383</v>
      </c>
      <c r="J208" t="s">
        <v>710</v>
      </c>
      <c r="K208" t="s">
        <v>880</v>
      </c>
      <c r="L208" t="s">
        <v>881</v>
      </c>
      <c r="M208" t="s">
        <v>882</v>
      </c>
      <c r="N208" t="s">
        <v>883</v>
      </c>
    </row>
    <row r="209" spans="1:15" x14ac:dyDescent="0.35">
      <c r="A209" s="1">
        <v>208</v>
      </c>
      <c r="B209" t="s">
        <v>778</v>
      </c>
      <c r="C209" t="s">
        <v>968</v>
      </c>
      <c r="D209">
        <v>2022</v>
      </c>
      <c r="E209" t="s">
        <v>919</v>
      </c>
      <c r="F209" t="s">
        <v>186</v>
      </c>
      <c r="H209">
        <v>386</v>
      </c>
      <c r="J209" t="s">
        <v>341</v>
      </c>
      <c r="K209" t="s">
        <v>884</v>
      </c>
      <c r="L209" t="s">
        <v>885</v>
      </c>
      <c r="M209" t="s">
        <v>502</v>
      </c>
    </row>
    <row r="210" spans="1:15" x14ac:dyDescent="0.35">
      <c r="A210" s="1">
        <v>209</v>
      </c>
      <c r="B210" t="s">
        <v>779</v>
      </c>
      <c r="C210" t="s">
        <v>969</v>
      </c>
      <c r="D210">
        <v>2022</v>
      </c>
      <c r="E210" t="s">
        <v>919</v>
      </c>
      <c r="F210" t="s">
        <v>186</v>
      </c>
      <c r="H210">
        <v>389</v>
      </c>
      <c r="J210" t="s">
        <v>416</v>
      </c>
      <c r="K210" t="s">
        <v>886</v>
      </c>
      <c r="L210" t="s">
        <v>887</v>
      </c>
      <c r="M210" t="s">
        <v>888</v>
      </c>
      <c r="N210" t="s">
        <v>889</v>
      </c>
      <c r="O210" t="s">
        <v>619</v>
      </c>
    </row>
    <row r="211" spans="1:15" x14ac:dyDescent="0.35">
      <c r="A211" s="1">
        <v>210</v>
      </c>
      <c r="B211" t="s">
        <v>780</v>
      </c>
      <c r="C211" t="s">
        <v>711</v>
      </c>
      <c r="D211">
        <v>2022</v>
      </c>
      <c r="E211" t="s">
        <v>919</v>
      </c>
      <c r="F211" t="s">
        <v>186</v>
      </c>
      <c r="H211">
        <v>398</v>
      </c>
      <c r="J211" t="s">
        <v>711</v>
      </c>
    </row>
    <row r="212" spans="1:15" x14ac:dyDescent="0.35">
      <c r="A212" s="1">
        <v>211</v>
      </c>
      <c r="B212" t="s">
        <v>781</v>
      </c>
      <c r="C212" t="s">
        <v>970</v>
      </c>
      <c r="D212">
        <v>2022</v>
      </c>
      <c r="E212" t="s">
        <v>919</v>
      </c>
      <c r="F212" t="s">
        <v>186</v>
      </c>
      <c r="H212">
        <v>404</v>
      </c>
      <c r="J212" t="s">
        <v>813</v>
      </c>
      <c r="K212" t="s">
        <v>890</v>
      </c>
    </row>
    <row r="213" spans="1:15" x14ac:dyDescent="0.35">
      <c r="A213" s="1">
        <v>212</v>
      </c>
      <c r="B213" t="s">
        <v>782</v>
      </c>
      <c r="C213" t="s">
        <v>971</v>
      </c>
      <c r="D213">
        <v>2022</v>
      </c>
      <c r="E213" t="s">
        <v>919</v>
      </c>
      <c r="F213" t="s">
        <v>186</v>
      </c>
      <c r="H213">
        <v>407</v>
      </c>
      <c r="J213" t="s">
        <v>712</v>
      </c>
      <c r="K213" t="s">
        <v>385</v>
      </c>
      <c r="L213" t="s">
        <v>525</v>
      </c>
      <c r="M213" t="s">
        <v>516</v>
      </c>
      <c r="N213" t="s">
        <v>526</v>
      </c>
    </row>
    <row r="214" spans="1:15" x14ac:dyDescent="0.35">
      <c r="A214" s="1">
        <v>213</v>
      </c>
      <c r="B214" t="s">
        <v>783</v>
      </c>
      <c r="C214" t="s">
        <v>713</v>
      </c>
      <c r="D214">
        <v>2022</v>
      </c>
      <c r="E214" t="s">
        <v>919</v>
      </c>
      <c r="F214" t="s">
        <v>186</v>
      </c>
      <c r="H214">
        <v>410</v>
      </c>
      <c r="J214" t="s">
        <v>713</v>
      </c>
    </row>
    <row r="215" spans="1:15" x14ac:dyDescent="0.35">
      <c r="A215" s="1">
        <v>214</v>
      </c>
      <c r="B215" t="s">
        <v>784</v>
      </c>
      <c r="C215" t="s">
        <v>972</v>
      </c>
      <c r="D215">
        <v>2022</v>
      </c>
      <c r="E215" t="s">
        <v>919</v>
      </c>
      <c r="F215" t="s">
        <v>186</v>
      </c>
      <c r="H215">
        <v>418</v>
      </c>
      <c r="J215" t="s">
        <v>714</v>
      </c>
      <c r="K215" t="s">
        <v>571</v>
      </c>
      <c r="L215" t="s">
        <v>567</v>
      </c>
    </row>
    <row r="216" spans="1:15" x14ac:dyDescent="0.35">
      <c r="A216" s="1">
        <v>215</v>
      </c>
      <c r="B216" t="s">
        <v>785</v>
      </c>
      <c r="C216" t="s">
        <v>973</v>
      </c>
      <c r="D216">
        <v>2022</v>
      </c>
      <c r="E216" t="s">
        <v>919</v>
      </c>
      <c r="F216" t="s">
        <v>186</v>
      </c>
      <c r="H216">
        <v>428</v>
      </c>
      <c r="J216" t="s">
        <v>715</v>
      </c>
      <c r="K216" t="s">
        <v>321</v>
      </c>
      <c r="L216" t="s">
        <v>454</v>
      </c>
    </row>
    <row r="217" spans="1:15" x14ac:dyDescent="0.35">
      <c r="A217" s="1">
        <v>216</v>
      </c>
      <c r="B217" t="s">
        <v>786</v>
      </c>
      <c r="C217" t="s">
        <v>974</v>
      </c>
      <c r="D217">
        <v>2022</v>
      </c>
      <c r="E217" t="s">
        <v>919</v>
      </c>
      <c r="F217" t="s">
        <v>186</v>
      </c>
      <c r="H217">
        <v>436</v>
      </c>
      <c r="J217" t="s">
        <v>814</v>
      </c>
      <c r="K217" t="s">
        <v>891</v>
      </c>
    </row>
    <row r="218" spans="1:15" x14ac:dyDescent="0.35">
      <c r="A218" s="1">
        <v>217</v>
      </c>
      <c r="B218" t="s">
        <v>787</v>
      </c>
      <c r="C218" t="s">
        <v>975</v>
      </c>
      <c r="D218">
        <v>2022</v>
      </c>
      <c r="E218" t="s">
        <v>919</v>
      </c>
      <c r="F218" t="s">
        <v>186</v>
      </c>
      <c r="H218">
        <v>445</v>
      </c>
      <c r="J218" t="s">
        <v>571</v>
      </c>
      <c r="K218" t="s">
        <v>543</v>
      </c>
      <c r="L218" t="s">
        <v>892</v>
      </c>
      <c r="M218" t="s">
        <v>893</v>
      </c>
    </row>
    <row r="219" spans="1:15" x14ac:dyDescent="0.35">
      <c r="A219" s="1">
        <v>218</v>
      </c>
      <c r="B219" t="s">
        <v>788</v>
      </c>
      <c r="C219" t="s">
        <v>976</v>
      </c>
      <c r="D219">
        <v>2022</v>
      </c>
      <c r="E219" t="s">
        <v>919</v>
      </c>
      <c r="F219" t="s">
        <v>186</v>
      </c>
      <c r="H219">
        <v>447</v>
      </c>
      <c r="J219" t="s">
        <v>815</v>
      </c>
      <c r="K219" t="s">
        <v>894</v>
      </c>
    </row>
    <row r="220" spans="1:15" x14ac:dyDescent="0.35">
      <c r="A220" s="1">
        <v>219</v>
      </c>
      <c r="B220" t="s">
        <v>789</v>
      </c>
      <c r="C220" t="s">
        <v>171</v>
      </c>
      <c r="D220">
        <v>2022</v>
      </c>
      <c r="E220" t="s">
        <v>919</v>
      </c>
      <c r="F220" t="s">
        <v>918</v>
      </c>
      <c r="H220">
        <v>456</v>
      </c>
      <c r="J220" t="s">
        <v>171</v>
      </c>
    </row>
    <row r="221" spans="1:15" x14ac:dyDescent="0.35">
      <c r="A221" s="1">
        <v>220</v>
      </c>
      <c r="B221" t="s">
        <v>790</v>
      </c>
      <c r="C221" t="s">
        <v>977</v>
      </c>
      <c r="D221">
        <v>2022</v>
      </c>
      <c r="E221" t="s">
        <v>919</v>
      </c>
      <c r="F221" t="s">
        <v>918</v>
      </c>
      <c r="H221">
        <v>465</v>
      </c>
      <c r="J221" t="s">
        <v>604</v>
      </c>
      <c r="K221" t="s">
        <v>895</v>
      </c>
      <c r="L221" t="s">
        <v>896</v>
      </c>
      <c r="M221" t="s">
        <v>897</v>
      </c>
      <c r="N221" t="s">
        <v>409</v>
      </c>
    </row>
    <row r="222" spans="1:15" x14ac:dyDescent="0.35">
      <c r="A222" s="1">
        <v>221</v>
      </c>
      <c r="B222" t="s">
        <v>791</v>
      </c>
      <c r="C222" t="s">
        <v>978</v>
      </c>
      <c r="D222">
        <v>2022</v>
      </c>
      <c r="E222" t="s">
        <v>919</v>
      </c>
      <c r="F222" t="s">
        <v>918</v>
      </c>
      <c r="H222">
        <v>468</v>
      </c>
      <c r="J222" t="s">
        <v>716</v>
      </c>
      <c r="K222" t="s">
        <v>898</v>
      </c>
      <c r="L222" t="s">
        <v>459</v>
      </c>
    </row>
    <row r="223" spans="1:15" x14ac:dyDescent="0.35">
      <c r="A223" s="1">
        <v>222</v>
      </c>
      <c r="B223" t="s">
        <v>792</v>
      </c>
      <c r="C223" t="s">
        <v>979</v>
      </c>
      <c r="D223">
        <v>2022</v>
      </c>
      <c r="E223" t="s">
        <v>919</v>
      </c>
      <c r="F223" t="s">
        <v>917</v>
      </c>
      <c r="H223">
        <v>471</v>
      </c>
      <c r="J223" t="s">
        <v>816</v>
      </c>
      <c r="K223" t="s">
        <v>899</v>
      </c>
    </row>
    <row r="224" spans="1:15" x14ac:dyDescent="0.35">
      <c r="A224" s="1">
        <v>223</v>
      </c>
      <c r="B224" t="s">
        <v>793</v>
      </c>
      <c r="C224" t="s">
        <v>386</v>
      </c>
      <c r="D224">
        <v>2022</v>
      </c>
      <c r="E224" t="s">
        <v>919</v>
      </c>
      <c r="F224" t="s">
        <v>917</v>
      </c>
      <c r="H224">
        <v>478</v>
      </c>
      <c r="J224" t="s">
        <v>386</v>
      </c>
    </row>
    <row r="225" spans="1:38" x14ac:dyDescent="0.35">
      <c r="A225" s="1">
        <v>224</v>
      </c>
      <c r="B225" t="s">
        <v>794</v>
      </c>
      <c r="C225" t="s">
        <v>980</v>
      </c>
      <c r="D225">
        <v>2022</v>
      </c>
      <c r="E225" t="s">
        <v>919</v>
      </c>
      <c r="F225" t="s">
        <v>917</v>
      </c>
      <c r="H225">
        <v>481</v>
      </c>
      <c r="J225" t="s">
        <v>717</v>
      </c>
      <c r="K225" t="s">
        <v>900</v>
      </c>
      <c r="L225" t="s">
        <v>901</v>
      </c>
    </row>
    <row r="226" spans="1:38" x14ac:dyDescent="0.35">
      <c r="A226" s="1">
        <v>225</v>
      </c>
      <c r="B226" t="s">
        <v>795</v>
      </c>
      <c r="C226" t="s">
        <v>981</v>
      </c>
      <c r="D226">
        <v>2022</v>
      </c>
      <c r="E226" t="s">
        <v>919</v>
      </c>
      <c r="F226" t="s">
        <v>916</v>
      </c>
      <c r="H226">
        <v>484</v>
      </c>
      <c r="J226" t="s">
        <v>462</v>
      </c>
      <c r="K226" t="s">
        <v>902</v>
      </c>
      <c r="L226" t="s">
        <v>903</v>
      </c>
      <c r="M226" t="s">
        <v>325</v>
      </c>
      <c r="N226" t="s">
        <v>601</v>
      </c>
      <c r="O226" t="s">
        <v>904</v>
      </c>
      <c r="P226" t="s">
        <v>905</v>
      </c>
      <c r="Q226" t="s">
        <v>408</v>
      </c>
    </row>
    <row r="227" spans="1:38" x14ac:dyDescent="0.35">
      <c r="A227" s="1">
        <v>226</v>
      </c>
      <c r="B227" t="s">
        <v>796</v>
      </c>
      <c r="C227" t="s">
        <v>982</v>
      </c>
      <c r="D227">
        <v>2022</v>
      </c>
      <c r="E227" t="s">
        <v>919</v>
      </c>
      <c r="F227" t="s">
        <v>916</v>
      </c>
      <c r="H227">
        <v>487</v>
      </c>
      <c r="J227" t="s">
        <v>718</v>
      </c>
      <c r="K227" t="s">
        <v>906</v>
      </c>
      <c r="L227" t="s">
        <v>907</v>
      </c>
    </row>
    <row r="228" spans="1:38" x14ac:dyDescent="0.35">
      <c r="A228" s="1">
        <v>227</v>
      </c>
      <c r="B228" t="s">
        <v>797</v>
      </c>
      <c r="C228" t="s">
        <v>983</v>
      </c>
      <c r="D228">
        <v>2022</v>
      </c>
      <c r="E228" t="s">
        <v>919</v>
      </c>
      <c r="F228" t="s">
        <v>916</v>
      </c>
      <c r="H228">
        <v>491</v>
      </c>
      <c r="J228" t="s">
        <v>817</v>
      </c>
      <c r="K228" t="s">
        <v>908</v>
      </c>
    </row>
    <row r="229" spans="1:38" x14ac:dyDescent="0.35">
      <c r="A229" s="1">
        <v>228</v>
      </c>
      <c r="B229" t="s">
        <v>798</v>
      </c>
      <c r="C229" t="s">
        <v>514</v>
      </c>
      <c r="D229">
        <v>2022</v>
      </c>
      <c r="E229" t="s">
        <v>919</v>
      </c>
      <c r="F229" t="s">
        <v>916</v>
      </c>
      <c r="H229">
        <v>494</v>
      </c>
      <c r="J229" t="s">
        <v>514</v>
      </c>
    </row>
    <row r="230" spans="1:38" x14ac:dyDescent="0.35">
      <c r="A230" s="1">
        <v>229</v>
      </c>
      <c r="B230" t="s">
        <v>799</v>
      </c>
      <c r="C230" t="s">
        <v>437</v>
      </c>
      <c r="D230">
        <v>2022</v>
      </c>
      <c r="E230" t="s">
        <v>919</v>
      </c>
      <c r="F230" t="s">
        <v>916</v>
      </c>
      <c r="H230">
        <v>497</v>
      </c>
      <c r="J230" t="s">
        <v>437</v>
      </c>
    </row>
    <row r="231" spans="1:38" x14ac:dyDescent="0.35">
      <c r="A231" s="1">
        <v>230</v>
      </c>
      <c r="B231" t="s">
        <v>800</v>
      </c>
      <c r="C231" t="s">
        <v>984</v>
      </c>
      <c r="D231">
        <v>2022</v>
      </c>
      <c r="E231" t="s">
        <v>919</v>
      </c>
      <c r="F231" t="s">
        <v>193</v>
      </c>
      <c r="H231">
        <v>506</v>
      </c>
      <c r="J231" t="s">
        <v>818</v>
      </c>
      <c r="K231" t="s">
        <v>514</v>
      </c>
    </row>
    <row r="232" spans="1:38" x14ac:dyDescent="0.35">
      <c r="A232" s="1">
        <v>231</v>
      </c>
      <c r="B232" t="s">
        <v>801</v>
      </c>
      <c r="C232" t="s">
        <v>985</v>
      </c>
      <c r="D232">
        <v>2022</v>
      </c>
      <c r="E232" t="s">
        <v>919</v>
      </c>
      <c r="F232" t="s">
        <v>193</v>
      </c>
      <c r="H232">
        <v>508</v>
      </c>
      <c r="J232" t="s">
        <v>720</v>
      </c>
      <c r="K232" t="s">
        <v>909</v>
      </c>
      <c r="L232" t="s">
        <v>565</v>
      </c>
    </row>
    <row r="233" spans="1:38" x14ac:dyDescent="0.35">
      <c r="A233" s="1">
        <v>232</v>
      </c>
      <c r="B233" t="s">
        <v>802</v>
      </c>
      <c r="C233" t="s">
        <v>721</v>
      </c>
      <c r="D233">
        <v>2022</v>
      </c>
      <c r="E233" t="s">
        <v>919</v>
      </c>
      <c r="F233" t="s">
        <v>193</v>
      </c>
      <c r="H233">
        <v>510</v>
      </c>
      <c r="J233" t="s">
        <v>721</v>
      </c>
    </row>
    <row r="234" spans="1:38" x14ac:dyDescent="0.35">
      <c r="A234" s="1">
        <v>233</v>
      </c>
      <c r="B234" t="s">
        <v>803</v>
      </c>
      <c r="C234" t="s">
        <v>986</v>
      </c>
      <c r="D234">
        <v>2022</v>
      </c>
      <c r="E234" t="s">
        <v>919</v>
      </c>
      <c r="F234" t="s">
        <v>193</v>
      </c>
      <c r="H234">
        <v>512</v>
      </c>
      <c r="J234" t="s">
        <v>819</v>
      </c>
      <c r="K234" t="s">
        <v>514</v>
      </c>
    </row>
    <row r="235" spans="1:38" x14ac:dyDescent="0.35">
      <c r="A235" s="1">
        <v>234</v>
      </c>
      <c r="B235" t="s">
        <v>1097</v>
      </c>
      <c r="C235" t="s">
        <v>987</v>
      </c>
      <c r="D235">
        <v>2021</v>
      </c>
      <c r="E235" t="s">
        <v>920</v>
      </c>
      <c r="F235" t="s">
        <v>1216</v>
      </c>
      <c r="H235">
        <v>1</v>
      </c>
      <c r="J235" t="s">
        <v>987</v>
      </c>
      <c r="K235" t="s">
        <v>455</v>
      </c>
      <c r="L235" t="s">
        <v>455</v>
      </c>
      <c r="M235" t="s">
        <v>455</v>
      </c>
      <c r="N235" t="s">
        <v>455</v>
      </c>
      <c r="O235" t="s">
        <v>455</v>
      </c>
      <c r="P235" t="s">
        <v>455</v>
      </c>
      <c r="Q235" t="s">
        <v>455</v>
      </c>
      <c r="R235" t="s">
        <v>455</v>
      </c>
      <c r="S235" t="s">
        <v>455</v>
      </c>
      <c r="T235" t="s">
        <v>455</v>
      </c>
      <c r="U235" t="s">
        <v>455</v>
      </c>
      <c r="V235" t="s">
        <v>455</v>
      </c>
      <c r="W235" t="s">
        <v>455</v>
      </c>
      <c r="X235" t="s">
        <v>455</v>
      </c>
      <c r="Y235" t="s">
        <v>455</v>
      </c>
      <c r="Z235" t="s">
        <v>455</v>
      </c>
      <c r="AA235" t="s">
        <v>455</v>
      </c>
      <c r="AB235" t="s">
        <v>455</v>
      </c>
      <c r="AC235" t="s">
        <v>455</v>
      </c>
      <c r="AD235" t="s">
        <v>455</v>
      </c>
      <c r="AE235" t="s">
        <v>455</v>
      </c>
      <c r="AF235" t="s">
        <v>455</v>
      </c>
      <c r="AG235" t="s">
        <v>455</v>
      </c>
      <c r="AH235" t="s">
        <v>455</v>
      </c>
      <c r="AI235" t="s">
        <v>455</v>
      </c>
      <c r="AJ235" t="s">
        <v>455</v>
      </c>
      <c r="AK235" t="s">
        <v>455</v>
      </c>
      <c r="AL235" t="s">
        <v>455</v>
      </c>
    </row>
    <row r="236" spans="1:38" x14ac:dyDescent="0.35">
      <c r="A236" s="1">
        <v>235</v>
      </c>
      <c r="B236" t="s">
        <v>1098</v>
      </c>
      <c r="C236" t="s">
        <v>988</v>
      </c>
      <c r="D236">
        <v>2021</v>
      </c>
      <c r="E236" t="s">
        <v>920</v>
      </c>
      <c r="F236" t="s">
        <v>1217</v>
      </c>
      <c r="H236">
        <v>5</v>
      </c>
      <c r="J236" t="s">
        <v>988</v>
      </c>
      <c r="K236" t="s">
        <v>455</v>
      </c>
      <c r="L236" t="s">
        <v>455</v>
      </c>
      <c r="M236" t="s">
        <v>455</v>
      </c>
      <c r="N236" t="s">
        <v>455</v>
      </c>
      <c r="O236" t="s">
        <v>455</v>
      </c>
      <c r="P236" t="s">
        <v>455</v>
      </c>
      <c r="Q236" t="s">
        <v>455</v>
      </c>
      <c r="R236" t="s">
        <v>455</v>
      </c>
      <c r="S236" t="s">
        <v>455</v>
      </c>
      <c r="T236" t="s">
        <v>455</v>
      </c>
      <c r="U236" t="s">
        <v>455</v>
      </c>
      <c r="V236" t="s">
        <v>455</v>
      </c>
      <c r="W236" t="s">
        <v>455</v>
      </c>
      <c r="X236" t="s">
        <v>455</v>
      </c>
      <c r="Y236" t="s">
        <v>455</v>
      </c>
      <c r="Z236" t="s">
        <v>455</v>
      </c>
      <c r="AA236" t="s">
        <v>455</v>
      </c>
      <c r="AB236" t="s">
        <v>455</v>
      </c>
      <c r="AC236" t="s">
        <v>455</v>
      </c>
      <c r="AD236" t="s">
        <v>455</v>
      </c>
      <c r="AE236" t="s">
        <v>455</v>
      </c>
      <c r="AF236" t="s">
        <v>455</v>
      </c>
      <c r="AG236" t="s">
        <v>455</v>
      </c>
      <c r="AH236" t="s">
        <v>455</v>
      </c>
      <c r="AI236" t="s">
        <v>455</v>
      </c>
      <c r="AJ236" t="s">
        <v>455</v>
      </c>
      <c r="AK236" t="s">
        <v>455</v>
      </c>
      <c r="AL236" t="s">
        <v>455</v>
      </c>
    </row>
    <row r="237" spans="1:38" x14ac:dyDescent="0.35">
      <c r="A237" s="1">
        <v>236</v>
      </c>
      <c r="B237" t="s">
        <v>1099</v>
      </c>
      <c r="C237" t="s">
        <v>989</v>
      </c>
      <c r="D237">
        <v>2021</v>
      </c>
      <c r="E237" t="s">
        <v>920</v>
      </c>
      <c r="F237" t="s">
        <v>1217</v>
      </c>
      <c r="H237">
        <v>7</v>
      </c>
      <c r="J237" t="s">
        <v>989</v>
      </c>
      <c r="K237" t="s">
        <v>455</v>
      </c>
      <c r="L237" t="s">
        <v>455</v>
      </c>
      <c r="M237" t="s">
        <v>455</v>
      </c>
      <c r="N237" t="s">
        <v>455</v>
      </c>
      <c r="O237" t="s">
        <v>455</v>
      </c>
      <c r="P237" t="s">
        <v>455</v>
      </c>
      <c r="Q237" t="s">
        <v>455</v>
      </c>
      <c r="R237" t="s">
        <v>455</v>
      </c>
      <c r="S237" t="s">
        <v>455</v>
      </c>
      <c r="T237" t="s">
        <v>455</v>
      </c>
      <c r="U237" t="s">
        <v>455</v>
      </c>
      <c r="V237" t="s">
        <v>455</v>
      </c>
      <c r="W237" t="s">
        <v>455</v>
      </c>
      <c r="X237" t="s">
        <v>455</v>
      </c>
      <c r="Y237" t="s">
        <v>455</v>
      </c>
      <c r="Z237" t="s">
        <v>455</v>
      </c>
      <c r="AA237" t="s">
        <v>455</v>
      </c>
      <c r="AB237" t="s">
        <v>455</v>
      </c>
      <c r="AC237" t="s">
        <v>455</v>
      </c>
      <c r="AD237" t="s">
        <v>455</v>
      </c>
      <c r="AE237" t="s">
        <v>455</v>
      </c>
      <c r="AF237" t="s">
        <v>455</v>
      </c>
      <c r="AG237" t="s">
        <v>455</v>
      </c>
      <c r="AH237" t="s">
        <v>455</v>
      </c>
      <c r="AI237" t="s">
        <v>455</v>
      </c>
      <c r="AJ237" t="s">
        <v>455</v>
      </c>
      <c r="AK237" t="s">
        <v>455</v>
      </c>
      <c r="AL237" t="s">
        <v>455</v>
      </c>
    </row>
    <row r="238" spans="1:38" x14ac:dyDescent="0.35">
      <c r="A238" s="1">
        <v>237</v>
      </c>
      <c r="B238" t="s">
        <v>1100</v>
      </c>
      <c r="C238" t="s">
        <v>990</v>
      </c>
      <c r="D238">
        <v>2021</v>
      </c>
      <c r="E238" t="s">
        <v>920</v>
      </c>
      <c r="F238" t="s">
        <v>1217</v>
      </c>
      <c r="H238">
        <v>9</v>
      </c>
      <c r="J238" t="s">
        <v>990</v>
      </c>
      <c r="K238" t="s">
        <v>455</v>
      </c>
      <c r="L238" t="s">
        <v>455</v>
      </c>
      <c r="M238" t="s">
        <v>455</v>
      </c>
      <c r="N238" t="s">
        <v>455</v>
      </c>
      <c r="O238" t="s">
        <v>455</v>
      </c>
      <c r="P238" t="s">
        <v>455</v>
      </c>
      <c r="Q238" t="s">
        <v>455</v>
      </c>
      <c r="R238" t="s">
        <v>455</v>
      </c>
      <c r="S238" t="s">
        <v>455</v>
      </c>
      <c r="T238" t="s">
        <v>455</v>
      </c>
      <c r="U238" t="s">
        <v>455</v>
      </c>
      <c r="V238" t="s">
        <v>455</v>
      </c>
      <c r="W238" t="s">
        <v>455</v>
      </c>
      <c r="X238" t="s">
        <v>455</v>
      </c>
      <c r="Y238" t="s">
        <v>455</v>
      </c>
      <c r="Z238" t="s">
        <v>455</v>
      </c>
      <c r="AA238" t="s">
        <v>455</v>
      </c>
      <c r="AB238" t="s">
        <v>455</v>
      </c>
      <c r="AC238" t="s">
        <v>455</v>
      </c>
      <c r="AD238" t="s">
        <v>455</v>
      </c>
      <c r="AE238" t="s">
        <v>455</v>
      </c>
      <c r="AF238" t="s">
        <v>455</v>
      </c>
      <c r="AG238" t="s">
        <v>455</v>
      </c>
      <c r="AH238" t="s">
        <v>455</v>
      </c>
      <c r="AI238" t="s">
        <v>455</v>
      </c>
      <c r="AJ238" t="s">
        <v>455</v>
      </c>
      <c r="AK238" t="s">
        <v>455</v>
      </c>
      <c r="AL238" t="s">
        <v>455</v>
      </c>
    </row>
    <row r="239" spans="1:38" x14ac:dyDescent="0.35">
      <c r="A239" s="1">
        <v>238</v>
      </c>
      <c r="B239" t="s">
        <v>1101</v>
      </c>
      <c r="C239" t="s">
        <v>991</v>
      </c>
      <c r="D239">
        <v>2021</v>
      </c>
      <c r="E239" t="s">
        <v>920</v>
      </c>
      <c r="F239" t="s">
        <v>1217</v>
      </c>
      <c r="H239">
        <v>11</v>
      </c>
      <c r="J239" t="s">
        <v>991</v>
      </c>
      <c r="K239" t="s">
        <v>455</v>
      </c>
      <c r="L239" t="s">
        <v>455</v>
      </c>
      <c r="M239" t="s">
        <v>455</v>
      </c>
      <c r="N239" t="s">
        <v>455</v>
      </c>
      <c r="O239" t="s">
        <v>455</v>
      </c>
      <c r="P239" t="s">
        <v>455</v>
      </c>
      <c r="Q239" t="s">
        <v>455</v>
      </c>
      <c r="R239" t="s">
        <v>455</v>
      </c>
      <c r="S239" t="s">
        <v>455</v>
      </c>
      <c r="T239" t="s">
        <v>455</v>
      </c>
      <c r="U239" t="s">
        <v>455</v>
      </c>
      <c r="V239" t="s">
        <v>455</v>
      </c>
      <c r="W239" t="s">
        <v>455</v>
      </c>
      <c r="X239" t="s">
        <v>455</v>
      </c>
      <c r="Y239" t="s">
        <v>455</v>
      </c>
      <c r="Z239" t="s">
        <v>455</v>
      </c>
      <c r="AA239" t="s">
        <v>455</v>
      </c>
      <c r="AB239" t="s">
        <v>455</v>
      </c>
      <c r="AC239" t="s">
        <v>455</v>
      </c>
      <c r="AD239" t="s">
        <v>455</v>
      </c>
      <c r="AE239" t="s">
        <v>455</v>
      </c>
      <c r="AF239" t="s">
        <v>455</v>
      </c>
      <c r="AG239" t="s">
        <v>455</v>
      </c>
      <c r="AH239" t="s">
        <v>455</v>
      </c>
      <c r="AI239" t="s">
        <v>455</v>
      </c>
      <c r="AJ239" t="s">
        <v>455</v>
      </c>
      <c r="AK239" t="s">
        <v>455</v>
      </c>
      <c r="AL239" t="s">
        <v>455</v>
      </c>
    </row>
    <row r="240" spans="1:38" x14ac:dyDescent="0.35">
      <c r="A240" s="1">
        <v>239</v>
      </c>
      <c r="B240" t="s">
        <v>1102</v>
      </c>
      <c r="C240" t="s">
        <v>992</v>
      </c>
      <c r="D240">
        <v>2021</v>
      </c>
      <c r="E240" t="s">
        <v>920</v>
      </c>
      <c r="F240" t="s">
        <v>1217</v>
      </c>
      <c r="H240">
        <v>13</v>
      </c>
      <c r="J240" t="s">
        <v>992</v>
      </c>
      <c r="K240" t="s">
        <v>455</v>
      </c>
      <c r="L240" t="s">
        <v>455</v>
      </c>
      <c r="M240" t="s">
        <v>455</v>
      </c>
      <c r="N240" t="s">
        <v>455</v>
      </c>
      <c r="O240" t="s">
        <v>455</v>
      </c>
      <c r="P240" t="s">
        <v>455</v>
      </c>
      <c r="Q240" t="s">
        <v>455</v>
      </c>
      <c r="R240" t="s">
        <v>455</v>
      </c>
      <c r="S240" t="s">
        <v>455</v>
      </c>
      <c r="T240" t="s">
        <v>455</v>
      </c>
      <c r="U240" t="s">
        <v>455</v>
      </c>
      <c r="V240" t="s">
        <v>455</v>
      </c>
      <c r="W240" t="s">
        <v>455</v>
      </c>
      <c r="X240" t="s">
        <v>455</v>
      </c>
      <c r="Y240" t="s">
        <v>455</v>
      </c>
      <c r="Z240" t="s">
        <v>455</v>
      </c>
      <c r="AA240" t="s">
        <v>455</v>
      </c>
      <c r="AB240" t="s">
        <v>455</v>
      </c>
      <c r="AC240" t="s">
        <v>455</v>
      </c>
      <c r="AD240" t="s">
        <v>455</v>
      </c>
      <c r="AE240" t="s">
        <v>455</v>
      </c>
      <c r="AF240" t="s">
        <v>455</v>
      </c>
      <c r="AG240" t="s">
        <v>455</v>
      </c>
      <c r="AH240" t="s">
        <v>455</v>
      </c>
      <c r="AI240" t="s">
        <v>455</v>
      </c>
      <c r="AJ240" t="s">
        <v>455</v>
      </c>
      <c r="AK240" t="s">
        <v>455</v>
      </c>
      <c r="AL240" t="s">
        <v>455</v>
      </c>
    </row>
    <row r="241" spans="1:38" x14ac:dyDescent="0.35">
      <c r="A241" s="1">
        <v>240</v>
      </c>
      <c r="B241" t="s">
        <v>1103</v>
      </c>
      <c r="C241" t="s">
        <v>993</v>
      </c>
      <c r="D241">
        <v>2021</v>
      </c>
      <c r="E241" t="s">
        <v>920</v>
      </c>
      <c r="F241" t="s">
        <v>1217</v>
      </c>
      <c r="H241">
        <v>15</v>
      </c>
      <c r="J241" t="s">
        <v>993</v>
      </c>
      <c r="K241" t="s">
        <v>455</v>
      </c>
      <c r="L241" t="s">
        <v>455</v>
      </c>
      <c r="M241" t="s">
        <v>455</v>
      </c>
      <c r="N241" t="s">
        <v>455</v>
      </c>
      <c r="O241" t="s">
        <v>455</v>
      </c>
      <c r="P241" t="s">
        <v>455</v>
      </c>
      <c r="Q241" t="s">
        <v>455</v>
      </c>
      <c r="R241" t="s">
        <v>455</v>
      </c>
      <c r="S241" t="s">
        <v>455</v>
      </c>
      <c r="T241" t="s">
        <v>455</v>
      </c>
      <c r="U241" t="s">
        <v>455</v>
      </c>
      <c r="V241" t="s">
        <v>455</v>
      </c>
      <c r="W241" t="s">
        <v>455</v>
      </c>
      <c r="X241" t="s">
        <v>455</v>
      </c>
      <c r="Y241" t="s">
        <v>455</v>
      </c>
      <c r="Z241" t="s">
        <v>455</v>
      </c>
      <c r="AA241" t="s">
        <v>455</v>
      </c>
      <c r="AB241" t="s">
        <v>455</v>
      </c>
      <c r="AC241" t="s">
        <v>455</v>
      </c>
      <c r="AD241" t="s">
        <v>455</v>
      </c>
      <c r="AE241" t="s">
        <v>455</v>
      </c>
      <c r="AF241" t="s">
        <v>455</v>
      </c>
      <c r="AG241" t="s">
        <v>455</v>
      </c>
      <c r="AH241" t="s">
        <v>455</v>
      </c>
      <c r="AI241" t="s">
        <v>455</v>
      </c>
      <c r="AJ241" t="s">
        <v>455</v>
      </c>
      <c r="AK241" t="s">
        <v>455</v>
      </c>
      <c r="AL241" t="s">
        <v>455</v>
      </c>
    </row>
    <row r="242" spans="1:38" x14ac:dyDescent="0.35">
      <c r="A242" s="1">
        <v>241</v>
      </c>
      <c r="B242" t="s">
        <v>1104</v>
      </c>
      <c r="C242" t="s">
        <v>994</v>
      </c>
      <c r="D242">
        <v>2021</v>
      </c>
      <c r="E242" t="s">
        <v>920</v>
      </c>
      <c r="F242" t="s">
        <v>1217</v>
      </c>
      <c r="H242">
        <v>17</v>
      </c>
      <c r="J242" t="s">
        <v>994</v>
      </c>
      <c r="K242" t="s">
        <v>455</v>
      </c>
      <c r="L242" t="s">
        <v>455</v>
      </c>
      <c r="M242" t="s">
        <v>455</v>
      </c>
      <c r="N242" t="s">
        <v>455</v>
      </c>
      <c r="O242" t="s">
        <v>455</v>
      </c>
      <c r="P242" t="s">
        <v>455</v>
      </c>
      <c r="Q242" t="s">
        <v>455</v>
      </c>
      <c r="R242" t="s">
        <v>455</v>
      </c>
      <c r="S242" t="s">
        <v>455</v>
      </c>
      <c r="T242" t="s">
        <v>455</v>
      </c>
      <c r="U242" t="s">
        <v>455</v>
      </c>
      <c r="V242" t="s">
        <v>455</v>
      </c>
      <c r="W242" t="s">
        <v>455</v>
      </c>
      <c r="X242" t="s">
        <v>455</v>
      </c>
      <c r="Y242" t="s">
        <v>455</v>
      </c>
      <c r="Z242" t="s">
        <v>455</v>
      </c>
      <c r="AA242" t="s">
        <v>455</v>
      </c>
      <c r="AB242" t="s">
        <v>455</v>
      </c>
      <c r="AC242" t="s">
        <v>455</v>
      </c>
      <c r="AD242" t="s">
        <v>455</v>
      </c>
      <c r="AE242" t="s">
        <v>455</v>
      </c>
      <c r="AF242" t="s">
        <v>455</v>
      </c>
      <c r="AG242" t="s">
        <v>455</v>
      </c>
      <c r="AH242" t="s">
        <v>455</v>
      </c>
      <c r="AI242" t="s">
        <v>455</v>
      </c>
      <c r="AJ242" t="s">
        <v>455</v>
      </c>
      <c r="AK242" t="s">
        <v>455</v>
      </c>
      <c r="AL242" t="s">
        <v>455</v>
      </c>
    </row>
    <row r="243" spans="1:38" x14ac:dyDescent="0.35">
      <c r="A243" s="1">
        <v>242</v>
      </c>
      <c r="B243" t="s">
        <v>1105</v>
      </c>
      <c r="C243" t="s">
        <v>995</v>
      </c>
      <c r="D243">
        <v>2021</v>
      </c>
      <c r="E243" t="s">
        <v>920</v>
      </c>
      <c r="F243" t="s">
        <v>1217</v>
      </c>
      <c r="H243">
        <v>19</v>
      </c>
      <c r="J243" t="s">
        <v>995</v>
      </c>
      <c r="K243" t="s">
        <v>455</v>
      </c>
      <c r="L243" t="s">
        <v>455</v>
      </c>
      <c r="M243" t="s">
        <v>455</v>
      </c>
      <c r="N243" t="s">
        <v>455</v>
      </c>
      <c r="O243" t="s">
        <v>455</v>
      </c>
      <c r="P243" t="s">
        <v>455</v>
      </c>
      <c r="Q243" t="s">
        <v>455</v>
      </c>
      <c r="R243" t="s">
        <v>455</v>
      </c>
      <c r="S243" t="s">
        <v>455</v>
      </c>
      <c r="T243" t="s">
        <v>455</v>
      </c>
      <c r="U243" t="s">
        <v>455</v>
      </c>
      <c r="V243" t="s">
        <v>455</v>
      </c>
      <c r="W243" t="s">
        <v>455</v>
      </c>
      <c r="X243" t="s">
        <v>455</v>
      </c>
      <c r="Y243" t="s">
        <v>455</v>
      </c>
      <c r="Z243" t="s">
        <v>455</v>
      </c>
      <c r="AA243" t="s">
        <v>455</v>
      </c>
      <c r="AB243" t="s">
        <v>455</v>
      </c>
      <c r="AC243" t="s">
        <v>455</v>
      </c>
      <c r="AD243" t="s">
        <v>455</v>
      </c>
      <c r="AE243" t="s">
        <v>455</v>
      </c>
      <c r="AF243" t="s">
        <v>455</v>
      </c>
      <c r="AG243" t="s">
        <v>455</v>
      </c>
      <c r="AH243" t="s">
        <v>455</v>
      </c>
      <c r="AI243" t="s">
        <v>455</v>
      </c>
      <c r="AJ243" t="s">
        <v>455</v>
      </c>
      <c r="AK243" t="s">
        <v>455</v>
      </c>
      <c r="AL243" t="s">
        <v>455</v>
      </c>
    </row>
    <row r="244" spans="1:38" x14ac:dyDescent="0.35">
      <c r="A244" s="1">
        <v>243</v>
      </c>
      <c r="B244" t="s">
        <v>1106</v>
      </c>
      <c r="C244" t="s">
        <v>996</v>
      </c>
      <c r="D244">
        <v>2021</v>
      </c>
      <c r="E244" t="s">
        <v>920</v>
      </c>
      <c r="F244" t="s">
        <v>1217</v>
      </c>
      <c r="H244">
        <v>21</v>
      </c>
      <c r="J244" t="s">
        <v>996</v>
      </c>
      <c r="K244" t="s">
        <v>455</v>
      </c>
      <c r="L244" t="s">
        <v>455</v>
      </c>
      <c r="M244" t="s">
        <v>455</v>
      </c>
      <c r="N244" t="s">
        <v>455</v>
      </c>
      <c r="O244" t="s">
        <v>455</v>
      </c>
      <c r="P244" t="s">
        <v>455</v>
      </c>
      <c r="Q244" t="s">
        <v>455</v>
      </c>
      <c r="R244" t="s">
        <v>455</v>
      </c>
      <c r="S244" t="s">
        <v>455</v>
      </c>
      <c r="T244" t="s">
        <v>455</v>
      </c>
      <c r="U244" t="s">
        <v>455</v>
      </c>
      <c r="V244" t="s">
        <v>455</v>
      </c>
      <c r="W244" t="s">
        <v>455</v>
      </c>
      <c r="X244" t="s">
        <v>455</v>
      </c>
      <c r="Y244" t="s">
        <v>455</v>
      </c>
      <c r="Z244" t="s">
        <v>455</v>
      </c>
      <c r="AA244" t="s">
        <v>455</v>
      </c>
      <c r="AB244" t="s">
        <v>455</v>
      </c>
      <c r="AC244" t="s">
        <v>455</v>
      </c>
      <c r="AD244" t="s">
        <v>455</v>
      </c>
      <c r="AE244" t="s">
        <v>455</v>
      </c>
      <c r="AF244" t="s">
        <v>455</v>
      </c>
      <c r="AG244" t="s">
        <v>455</v>
      </c>
      <c r="AH244" t="s">
        <v>455</v>
      </c>
      <c r="AI244" t="s">
        <v>455</v>
      </c>
      <c r="AJ244" t="s">
        <v>455</v>
      </c>
      <c r="AK244" t="s">
        <v>455</v>
      </c>
      <c r="AL244" t="s">
        <v>455</v>
      </c>
    </row>
    <row r="245" spans="1:38" x14ac:dyDescent="0.35">
      <c r="A245" s="1">
        <v>244</v>
      </c>
      <c r="B245" t="s">
        <v>1107</v>
      </c>
      <c r="C245" t="s">
        <v>997</v>
      </c>
      <c r="D245">
        <v>2021</v>
      </c>
      <c r="E245" t="s">
        <v>920</v>
      </c>
      <c r="F245" t="s">
        <v>1218</v>
      </c>
      <c r="H245">
        <v>23</v>
      </c>
      <c r="J245" t="s">
        <v>1225</v>
      </c>
      <c r="K245" t="s">
        <v>1709</v>
      </c>
      <c r="L245" t="s">
        <v>455</v>
      </c>
      <c r="M245" t="s">
        <v>455</v>
      </c>
      <c r="N245" t="s">
        <v>455</v>
      </c>
      <c r="O245" t="s">
        <v>455</v>
      </c>
      <c r="P245" t="s">
        <v>455</v>
      </c>
      <c r="Q245" t="s">
        <v>455</v>
      </c>
      <c r="R245" t="s">
        <v>455</v>
      </c>
      <c r="S245" t="s">
        <v>455</v>
      </c>
      <c r="T245" t="s">
        <v>455</v>
      </c>
      <c r="U245" t="s">
        <v>455</v>
      </c>
      <c r="V245" t="s">
        <v>455</v>
      </c>
      <c r="W245" t="s">
        <v>455</v>
      </c>
      <c r="X245" t="s">
        <v>455</v>
      </c>
      <c r="Y245" t="s">
        <v>455</v>
      </c>
      <c r="Z245" t="s">
        <v>455</v>
      </c>
      <c r="AA245" t="s">
        <v>455</v>
      </c>
      <c r="AB245" t="s">
        <v>455</v>
      </c>
      <c r="AC245" t="s">
        <v>455</v>
      </c>
      <c r="AD245" t="s">
        <v>455</v>
      </c>
      <c r="AE245" t="s">
        <v>455</v>
      </c>
      <c r="AF245" t="s">
        <v>455</v>
      </c>
      <c r="AG245" t="s">
        <v>455</v>
      </c>
      <c r="AH245" t="s">
        <v>455</v>
      </c>
      <c r="AI245" t="s">
        <v>455</v>
      </c>
      <c r="AJ245" t="s">
        <v>455</v>
      </c>
      <c r="AK245" t="s">
        <v>455</v>
      </c>
      <c r="AL245" t="s">
        <v>455</v>
      </c>
    </row>
    <row r="246" spans="1:38" x14ac:dyDescent="0.35">
      <c r="A246" s="1">
        <v>245</v>
      </c>
      <c r="B246" t="s">
        <v>1108</v>
      </c>
      <c r="C246" t="s">
        <v>998</v>
      </c>
      <c r="D246">
        <v>2021</v>
      </c>
      <c r="E246" t="s">
        <v>920</v>
      </c>
      <c r="F246" t="s">
        <v>1218</v>
      </c>
      <c r="H246">
        <v>25</v>
      </c>
      <c r="J246" t="s">
        <v>718</v>
      </c>
      <c r="K246" t="s">
        <v>1710</v>
      </c>
      <c r="L246" t="s">
        <v>1711</v>
      </c>
      <c r="M246" t="s">
        <v>455</v>
      </c>
      <c r="N246" t="s">
        <v>455</v>
      </c>
      <c r="O246" t="s">
        <v>455</v>
      </c>
      <c r="P246" t="s">
        <v>455</v>
      </c>
      <c r="Q246" t="s">
        <v>455</v>
      </c>
      <c r="R246" t="s">
        <v>455</v>
      </c>
      <c r="S246" t="s">
        <v>455</v>
      </c>
      <c r="T246" t="s">
        <v>455</v>
      </c>
      <c r="U246" t="s">
        <v>455</v>
      </c>
      <c r="V246" t="s">
        <v>455</v>
      </c>
      <c r="W246" t="s">
        <v>455</v>
      </c>
      <c r="X246" t="s">
        <v>455</v>
      </c>
      <c r="Y246" t="s">
        <v>455</v>
      </c>
      <c r="Z246" t="s">
        <v>455</v>
      </c>
      <c r="AA246" t="s">
        <v>455</v>
      </c>
      <c r="AB246" t="s">
        <v>455</v>
      </c>
      <c r="AC246" t="s">
        <v>455</v>
      </c>
      <c r="AD246" t="s">
        <v>455</v>
      </c>
      <c r="AE246" t="s">
        <v>455</v>
      </c>
      <c r="AF246" t="s">
        <v>455</v>
      </c>
      <c r="AG246" t="s">
        <v>455</v>
      </c>
      <c r="AH246" t="s">
        <v>455</v>
      </c>
      <c r="AI246" t="s">
        <v>455</v>
      </c>
      <c r="AJ246" t="s">
        <v>455</v>
      </c>
      <c r="AK246" t="s">
        <v>455</v>
      </c>
      <c r="AL246" t="s">
        <v>455</v>
      </c>
    </row>
    <row r="247" spans="1:38" x14ac:dyDescent="0.35">
      <c r="A247" s="1">
        <v>246</v>
      </c>
      <c r="B247" t="s">
        <v>1109</v>
      </c>
      <c r="C247" t="s">
        <v>999</v>
      </c>
      <c r="D247">
        <v>2021</v>
      </c>
      <c r="E247" t="s">
        <v>920</v>
      </c>
      <c r="F247" t="s">
        <v>1218</v>
      </c>
      <c r="H247">
        <v>28</v>
      </c>
      <c r="J247" t="s">
        <v>999</v>
      </c>
      <c r="K247" t="s">
        <v>455</v>
      </c>
      <c r="L247" t="s">
        <v>455</v>
      </c>
      <c r="M247" t="s">
        <v>455</v>
      </c>
      <c r="N247" t="s">
        <v>455</v>
      </c>
      <c r="O247" t="s">
        <v>455</v>
      </c>
      <c r="P247" t="s">
        <v>455</v>
      </c>
      <c r="Q247" t="s">
        <v>455</v>
      </c>
      <c r="R247" t="s">
        <v>455</v>
      </c>
      <c r="S247" t="s">
        <v>455</v>
      </c>
      <c r="T247" t="s">
        <v>455</v>
      </c>
      <c r="U247" t="s">
        <v>455</v>
      </c>
      <c r="V247" t="s">
        <v>455</v>
      </c>
      <c r="W247" t="s">
        <v>455</v>
      </c>
      <c r="X247" t="s">
        <v>455</v>
      </c>
      <c r="Y247" t="s">
        <v>455</v>
      </c>
      <c r="Z247" t="s">
        <v>455</v>
      </c>
      <c r="AA247" t="s">
        <v>455</v>
      </c>
      <c r="AB247" t="s">
        <v>455</v>
      </c>
      <c r="AC247" t="s">
        <v>455</v>
      </c>
      <c r="AD247" t="s">
        <v>455</v>
      </c>
      <c r="AE247" t="s">
        <v>455</v>
      </c>
      <c r="AF247" t="s">
        <v>455</v>
      </c>
      <c r="AG247" t="s">
        <v>455</v>
      </c>
      <c r="AH247" t="s">
        <v>455</v>
      </c>
      <c r="AI247" t="s">
        <v>455</v>
      </c>
      <c r="AJ247" t="s">
        <v>455</v>
      </c>
      <c r="AK247" t="s">
        <v>455</v>
      </c>
      <c r="AL247" t="s">
        <v>455</v>
      </c>
    </row>
    <row r="248" spans="1:38" x14ac:dyDescent="0.35">
      <c r="A248" s="1">
        <v>247</v>
      </c>
      <c r="B248" t="s">
        <v>1110</v>
      </c>
      <c r="C248" t="s">
        <v>1000</v>
      </c>
      <c r="D248">
        <v>2021</v>
      </c>
      <c r="E248" t="s">
        <v>920</v>
      </c>
      <c r="F248" t="s">
        <v>1218</v>
      </c>
      <c r="H248">
        <v>36</v>
      </c>
      <c r="J248" t="s">
        <v>1226</v>
      </c>
      <c r="K248" t="s">
        <v>1712</v>
      </c>
      <c r="L248" t="s">
        <v>1713</v>
      </c>
      <c r="M248" t="s">
        <v>1612</v>
      </c>
      <c r="N248" t="s">
        <v>455</v>
      </c>
      <c r="O248" t="s">
        <v>455</v>
      </c>
      <c r="P248" t="s">
        <v>455</v>
      </c>
      <c r="Q248" t="s">
        <v>455</v>
      </c>
      <c r="R248" t="s">
        <v>455</v>
      </c>
      <c r="S248" t="s">
        <v>455</v>
      </c>
      <c r="T248" t="s">
        <v>455</v>
      </c>
      <c r="U248" t="s">
        <v>455</v>
      </c>
      <c r="V248" t="s">
        <v>455</v>
      </c>
      <c r="W248" t="s">
        <v>455</v>
      </c>
      <c r="X248" t="s">
        <v>455</v>
      </c>
      <c r="Y248" t="s">
        <v>455</v>
      </c>
      <c r="Z248" t="s">
        <v>455</v>
      </c>
      <c r="AA248" t="s">
        <v>455</v>
      </c>
      <c r="AB248" t="s">
        <v>455</v>
      </c>
      <c r="AC248" t="s">
        <v>455</v>
      </c>
      <c r="AD248" t="s">
        <v>455</v>
      </c>
      <c r="AE248" t="s">
        <v>455</v>
      </c>
      <c r="AF248" t="s">
        <v>455</v>
      </c>
      <c r="AG248" t="s">
        <v>455</v>
      </c>
      <c r="AH248" t="s">
        <v>455</v>
      </c>
      <c r="AI248" t="s">
        <v>455</v>
      </c>
      <c r="AJ248" t="s">
        <v>455</v>
      </c>
      <c r="AK248" t="s">
        <v>455</v>
      </c>
      <c r="AL248" t="s">
        <v>455</v>
      </c>
    </row>
    <row r="249" spans="1:38" x14ac:dyDescent="0.35">
      <c r="A249" s="1">
        <v>248</v>
      </c>
      <c r="B249" t="s">
        <v>1111</v>
      </c>
      <c r="C249" t="s">
        <v>514</v>
      </c>
      <c r="D249">
        <v>2021</v>
      </c>
      <c r="E249" t="s">
        <v>920</v>
      </c>
      <c r="F249" t="s">
        <v>1218</v>
      </c>
      <c r="H249">
        <v>39</v>
      </c>
      <c r="J249" t="s">
        <v>514</v>
      </c>
      <c r="K249" t="s">
        <v>455</v>
      </c>
      <c r="L249" t="s">
        <v>455</v>
      </c>
      <c r="M249" t="s">
        <v>455</v>
      </c>
      <c r="N249" t="s">
        <v>455</v>
      </c>
      <c r="O249" t="s">
        <v>455</v>
      </c>
      <c r="P249" t="s">
        <v>455</v>
      </c>
      <c r="Q249" t="s">
        <v>455</v>
      </c>
      <c r="R249" t="s">
        <v>455</v>
      </c>
      <c r="S249" t="s">
        <v>455</v>
      </c>
      <c r="T249" t="s">
        <v>455</v>
      </c>
      <c r="U249" t="s">
        <v>455</v>
      </c>
      <c r="V249" t="s">
        <v>455</v>
      </c>
      <c r="W249" t="s">
        <v>455</v>
      </c>
      <c r="X249" t="s">
        <v>455</v>
      </c>
      <c r="Y249" t="s">
        <v>455</v>
      </c>
      <c r="Z249" t="s">
        <v>455</v>
      </c>
      <c r="AA249" t="s">
        <v>455</v>
      </c>
      <c r="AB249" t="s">
        <v>455</v>
      </c>
      <c r="AC249" t="s">
        <v>455</v>
      </c>
      <c r="AD249" t="s">
        <v>455</v>
      </c>
      <c r="AE249" t="s">
        <v>455</v>
      </c>
      <c r="AF249" t="s">
        <v>455</v>
      </c>
      <c r="AG249" t="s">
        <v>455</v>
      </c>
      <c r="AH249" t="s">
        <v>455</v>
      </c>
      <c r="AI249" t="s">
        <v>455</v>
      </c>
      <c r="AJ249" t="s">
        <v>455</v>
      </c>
      <c r="AK249" t="s">
        <v>455</v>
      </c>
      <c r="AL249" t="s">
        <v>455</v>
      </c>
    </row>
    <row r="250" spans="1:38" x14ac:dyDescent="0.35">
      <c r="A250" s="1">
        <v>249</v>
      </c>
      <c r="B250" t="s">
        <v>1112</v>
      </c>
      <c r="C250" t="s">
        <v>1001</v>
      </c>
      <c r="D250">
        <v>2021</v>
      </c>
      <c r="E250" t="s">
        <v>920</v>
      </c>
      <c r="F250" t="s">
        <v>1218</v>
      </c>
      <c r="H250">
        <v>42</v>
      </c>
      <c r="J250" t="s">
        <v>1001</v>
      </c>
      <c r="K250" t="s">
        <v>455</v>
      </c>
      <c r="L250" t="s">
        <v>455</v>
      </c>
      <c r="M250" t="s">
        <v>455</v>
      </c>
      <c r="N250" t="s">
        <v>455</v>
      </c>
      <c r="O250" t="s">
        <v>455</v>
      </c>
      <c r="P250" t="s">
        <v>455</v>
      </c>
      <c r="Q250" t="s">
        <v>455</v>
      </c>
      <c r="R250" t="s">
        <v>455</v>
      </c>
      <c r="S250" t="s">
        <v>455</v>
      </c>
      <c r="T250" t="s">
        <v>455</v>
      </c>
      <c r="U250" t="s">
        <v>455</v>
      </c>
      <c r="V250" t="s">
        <v>455</v>
      </c>
      <c r="W250" t="s">
        <v>455</v>
      </c>
      <c r="X250" t="s">
        <v>455</v>
      </c>
      <c r="Y250" t="s">
        <v>455</v>
      </c>
      <c r="Z250" t="s">
        <v>455</v>
      </c>
      <c r="AA250" t="s">
        <v>455</v>
      </c>
      <c r="AB250" t="s">
        <v>455</v>
      </c>
      <c r="AC250" t="s">
        <v>455</v>
      </c>
      <c r="AD250" t="s">
        <v>455</v>
      </c>
      <c r="AE250" t="s">
        <v>455</v>
      </c>
      <c r="AF250" t="s">
        <v>455</v>
      </c>
      <c r="AG250" t="s">
        <v>455</v>
      </c>
      <c r="AH250" t="s">
        <v>455</v>
      </c>
      <c r="AI250" t="s">
        <v>455</v>
      </c>
      <c r="AJ250" t="s">
        <v>455</v>
      </c>
      <c r="AK250" t="s">
        <v>455</v>
      </c>
      <c r="AL250" t="s">
        <v>455</v>
      </c>
    </row>
    <row r="251" spans="1:38" x14ac:dyDescent="0.35">
      <c r="A251" s="1">
        <v>250</v>
      </c>
      <c r="B251" t="s">
        <v>1113</v>
      </c>
      <c r="C251" t="s">
        <v>1002</v>
      </c>
      <c r="D251">
        <v>2021</v>
      </c>
      <c r="E251" t="s">
        <v>920</v>
      </c>
      <c r="F251" t="s">
        <v>1218</v>
      </c>
      <c r="H251">
        <v>45</v>
      </c>
      <c r="J251" t="s">
        <v>1227</v>
      </c>
      <c r="K251" t="s">
        <v>1714</v>
      </c>
      <c r="L251" t="s">
        <v>1715</v>
      </c>
      <c r="M251" t="s">
        <v>1716</v>
      </c>
      <c r="N251" t="s">
        <v>455</v>
      </c>
      <c r="O251" t="s">
        <v>455</v>
      </c>
      <c r="P251" t="s">
        <v>455</v>
      </c>
      <c r="Q251" t="s">
        <v>455</v>
      </c>
      <c r="R251" t="s">
        <v>455</v>
      </c>
      <c r="S251" t="s">
        <v>455</v>
      </c>
      <c r="T251" t="s">
        <v>455</v>
      </c>
      <c r="U251" t="s">
        <v>455</v>
      </c>
      <c r="V251" t="s">
        <v>455</v>
      </c>
      <c r="W251" t="s">
        <v>455</v>
      </c>
      <c r="X251" t="s">
        <v>455</v>
      </c>
      <c r="Y251" t="s">
        <v>455</v>
      </c>
      <c r="Z251" t="s">
        <v>455</v>
      </c>
      <c r="AA251" t="s">
        <v>455</v>
      </c>
      <c r="AB251" t="s">
        <v>455</v>
      </c>
      <c r="AC251" t="s">
        <v>455</v>
      </c>
      <c r="AD251" t="s">
        <v>455</v>
      </c>
      <c r="AE251" t="s">
        <v>455</v>
      </c>
      <c r="AF251" t="s">
        <v>455</v>
      </c>
      <c r="AG251" t="s">
        <v>455</v>
      </c>
      <c r="AH251" t="s">
        <v>455</v>
      </c>
      <c r="AI251" t="s">
        <v>455</v>
      </c>
      <c r="AJ251" t="s">
        <v>455</v>
      </c>
      <c r="AK251" t="s">
        <v>455</v>
      </c>
      <c r="AL251" t="s">
        <v>455</v>
      </c>
    </row>
    <row r="252" spans="1:38" x14ac:dyDescent="0.35">
      <c r="A252" s="1">
        <v>251</v>
      </c>
      <c r="B252" t="s">
        <v>1114</v>
      </c>
      <c r="C252" t="s">
        <v>166</v>
      </c>
      <c r="D252">
        <v>2021</v>
      </c>
      <c r="E252" t="s">
        <v>920</v>
      </c>
      <c r="F252" t="s">
        <v>1219</v>
      </c>
      <c r="H252">
        <v>51</v>
      </c>
      <c r="J252" t="s">
        <v>355</v>
      </c>
      <c r="K252" t="s">
        <v>515</v>
      </c>
      <c r="L252" t="s">
        <v>455</v>
      </c>
      <c r="M252" t="s">
        <v>455</v>
      </c>
      <c r="N252" t="s">
        <v>455</v>
      </c>
      <c r="O252" t="s">
        <v>455</v>
      </c>
      <c r="P252" t="s">
        <v>455</v>
      </c>
      <c r="Q252" t="s">
        <v>455</v>
      </c>
      <c r="R252" t="s">
        <v>455</v>
      </c>
      <c r="S252" t="s">
        <v>455</v>
      </c>
      <c r="T252" t="s">
        <v>455</v>
      </c>
      <c r="U252" t="s">
        <v>455</v>
      </c>
      <c r="V252" t="s">
        <v>455</v>
      </c>
      <c r="W252" t="s">
        <v>455</v>
      </c>
      <c r="X252" t="s">
        <v>455</v>
      </c>
      <c r="Y252" t="s">
        <v>455</v>
      </c>
      <c r="Z252" t="s">
        <v>455</v>
      </c>
      <c r="AA252" t="s">
        <v>455</v>
      </c>
      <c r="AB252" t="s">
        <v>455</v>
      </c>
      <c r="AC252" t="s">
        <v>455</v>
      </c>
      <c r="AD252" t="s">
        <v>455</v>
      </c>
      <c r="AE252" t="s">
        <v>455</v>
      </c>
      <c r="AF252" t="s">
        <v>455</v>
      </c>
      <c r="AG252" t="s">
        <v>455</v>
      </c>
      <c r="AH252" t="s">
        <v>455</v>
      </c>
      <c r="AI252" t="s">
        <v>455</v>
      </c>
      <c r="AJ252" t="s">
        <v>455</v>
      </c>
      <c r="AK252" t="s">
        <v>455</v>
      </c>
      <c r="AL252" t="s">
        <v>455</v>
      </c>
    </row>
    <row r="253" spans="1:38" x14ac:dyDescent="0.35">
      <c r="A253" s="1">
        <v>252</v>
      </c>
      <c r="B253" t="s">
        <v>1115</v>
      </c>
      <c r="C253" t="s">
        <v>1003</v>
      </c>
      <c r="D253">
        <v>2021</v>
      </c>
      <c r="E253" t="s">
        <v>920</v>
      </c>
      <c r="F253" t="s">
        <v>1219</v>
      </c>
      <c r="H253">
        <v>54</v>
      </c>
      <c r="J253" t="s">
        <v>1228</v>
      </c>
      <c r="K253" t="s">
        <v>1717</v>
      </c>
      <c r="L253" t="s">
        <v>1718</v>
      </c>
      <c r="M253" t="s">
        <v>455</v>
      </c>
      <c r="N253" t="s">
        <v>455</v>
      </c>
      <c r="O253" t="s">
        <v>455</v>
      </c>
      <c r="P253" t="s">
        <v>455</v>
      </c>
      <c r="Q253" t="s">
        <v>455</v>
      </c>
      <c r="R253" t="s">
        <v>455</v>
      </c>
      <c r="S253" t="s">
        <v>455</v>
      </c>
      <c r="T253" t="s">
        <v>455</v>
      </c>
      <c r="U253" t="s">
        <v>455</v>
      </c>
      <c r="V253" t="s">
        <v>455</v>
      </c>
      <c r="W253" t="s">
        <v>455</v>
      </c>
      <c r="X253" t="s">
        <v>455</v>
      </c>
      <c r="Y253" t="s">
        <v>455</v>
      </c>
      <c r="Z253" t="s">
        <v>455</v>
      </c>
      <c r="AA253" t="s">
        <v>455</v>
      </c>
      <c r="AB253" t="s">
        <v>455</v>
      </c>
      <c r="AC253" t="s">
        <v>455</v>
      </c>
      <c r="AD253" t="s">
        <v>455</v>
      </c>
      <c r="AE253" t="s">
        <v>455</v>
      </c>
      <c r="AF253" t="s">
        <v>455</v>
      </c>
      <c r="AG253" t="s">
        <v>455</v>
      </c>
      <c r="AH253" t="s">
        <v>455</v>
      </c>
      <c r="AI253" t="s">
        <v>455</v>
      </c>
      <c r="AJ253" t="s">
        <v>455</v>
      </c>
      <c r="AK253" t="s">
        <v>455</v>
      </c>
      <c r="AL253" t="s">
        <v>455</v>
      </c>
    </row>
    <row r="254" spans="1:38" x14ac:dyDescent="0.35">
      <c r="A254" s="1">
        <v>253</v>
      </c>
      <c r="B254" t="s">
        <v>1116</v>
      </c>
      <c r="C254" t="s">
        <v>1004</v>
      </c>
      <c r="D254">
        <v>2021</v>
      </c>
      <c r="E254" t="s">
        <v>920</v>
      </c>
      <c r="F254" t="s">
        <v>1219</v>
      </c>
      <c r="H254">
        <v>57</v>
      </c>
      <c r="J254" t="s">
        <v>1229</v>
      </c>
      <c r="K254" t="s">
        <v>1719</v>
      </c>
      <c r="L254" t="s">
        <v>455</v>
      </c>
      <c r="M254" t="s">
        <v>455</v>
      </c>
      <c r="N254" t="s">
        <v>455</v>
      </c>
      <c r="O254" t="s">
        <v>455</v>
      </c>
      <c r="P254" t="s">
        <v>455</v>
      </c>
      <c r="Q254" t="s">
        <v>455</v>
      </c>
      <c r="R254" t="s">
        <v>455</v>
      </c>
      <c r="S254" t="s">
        <v>455</v>
      </c>
      <c r="T254" t="s">
        <v>455</v>
      </c>
      <c r="U254" t="s">
        <v>455</v>
      </c>
      <c r="V254" t="s">
        <v>455</v>
      </c>
      <c r="W254" t="s">
        <v>455</v>
      </c>
      <c r="X254" t="s">
        <v>455</v>
      </c>
      <c r="Y254" t="s">
        <v>455</v>
      </c>
      <c r="Z254" t="s">
        <v>455</v>
      </c>
      <c r="AA254" t="s">
        <v>455</v>
      </c>
      <c r="AB254" t="s">
        <v>455</v>
      </c>
      <c r="AC254" t="s">
        <v>455</v>
      </c>
      <c r="AD254" t="s">
        <v>455</v>
      </c>
      <c r="AE254" t="s">
        <v>455</v>
      </c>
      <c r="AF254" t="s">
        <v>455</v>
      </c>
      <c r="AG254" t="s">
        <v>455</v>
      </c>
      <c r="AH254" t="s">
        <v>455</v>
      </c>
      <c r="AI254" t="s">
        <v>455</v>
      </c>
      <c r="AJ254" t="s">
        <v>455</v>
      </c>
      <c r="AK254" t="s">
        <v>455</v>
      </c>
      <c r="AL254" t="s">
        <v>455</v>
      </c>
    </row>
    <row r="255" spans="1:38" x14ac:dyDescent="0.35">
      <c r="A255" s="1">
        <v>254</v>
      </c>
      <c r="B255" t="s">
        <v>1117</v>
      </c>
      <c r="C255" t="s">
        <v>1005</v>
      </c>
      <c r="D255">
        <v>2021</v>
      </c>
      <c r="E255" t="s">
        <v>920</v>
      </c>
      <c r="F255" t="s">
        <v>1220</v>
      </c>
      <c r="H255">
        <v>60</v>
      </c>
      <c r="J255" t="s">
        <v>1230</v>
      </c>
      <c r="K255" t="s">
        <v>1720</v>
      </c>
      <c r="L255" t="s">
        <v>1721</v>
      </c>
      <c r="M255" t="s">
        <v>527</v>
      </c>
      <c r="N255" t="s">
        <v>455</v>
      </c>
      <c r="O255" t="s">
        <v>455</v>
      </c>
      <c r="P255" t="s">
        <v>455</v>
      </c>
      <c r="Q255" t="s">
        <v>455</v>
      </c>
      <c r="R255" t="s">
        <v>455</v>
      </c>
      <c r="S255" t="s">
        <v>455</v>
      </c>
      <c r="T255" t="s">
        <v>455</v>
      </c>
      <c r="U255" t="s">
        <v>455</v>
      </c>
      <c r="V255" t="s">
        <v>455</v>
      </c>
      <c r="W255" t="s">
        <v>455</v>
      </c>
      <c r="X255" t="s">
        <v>455</v>
      </c>
      <c r="Y255" t="s">
        <v>455</v>
      </c>
      <c r="Z255" t="s">
        <v>455</v>
      </c>
      <c r="AA255" t="s">
        <v>455</v>
      </c>
      <c r="AB255" t="s">
        <v>455</v>
      </c>
      <c r="AC255" t="s">
        <v>455</v>
      </c>
      <c r="AD255" t="s">
        <v>455</v>
      </c>
      <c r="AE255" t="s">
        <v>455</v>
      </c>
      <c r="AF255" t="s">
        <v>455</v>
      </c>
      <c r="AG255" t="s">
        <v>455</v>
      </c>
      <c r="AH255" t="s">
        <v>455</v>
      </c>
      <c r="AI255" t="s">
        <v>455</v>
      </c>
      <c r="AJ255" t="s">
        <v>455</v>
      </c>
      <c r="AK255" t="s">
        <v>455</v>
      </c>
      <c r="AL255" t="s">
        <v>455</v>
      </c>
    </row>
    <row r="256" spans="1:38" x14ac:dyDescent="0.35">
      <c r="A256" s="1">
        <v>255</v>
      </c>
      <c r="B256" t="s">
        <v>1118</v>
      </c>
      <c r="C256" t="s">
        <v>1006</v>
      </c>
      <c r="D256">
        <v>2021</v>
      </c>
      <c r="E256" t="s">
        <v>920</v>
      </c>
      <c r="F256" t="s">
        <v>1220</v>
      </c>
      <c r="H256">
        <v>68</v>
      </c>
      <c r="J256" t="s">
        <v>1006</v>
      </c>
      <c r="K256" t="s">
        <v>455</v>
      </c>
      <c r="L256" t="s">
        <v>455</v>
      </c>
      <c r="M256" t="s">
        <v>455</v>
      </c>
      <c r="N256" t="s">
        <v>455</v>
      </c>
      <c r="O256" t="s">
        <v>455</v>
      </c>
      <c r="P256" t="s">
        <v>455</v>
      </c>
      <c r="Q256" t="s">
        <v>455</v>
      </c>
      <c r="R256" t="s">
        <v>455</v>
      </c>
      <c r="S256" t="s">
        <v>455</v>
      </c>
      <c r="T256" t="s">
        <v>455</v>
      </c>
      <c r="U256" t="s">
        <v>455</v>
      </c>
      <c r="V256" t="s">
        <v>455</v>
      </c>
      <c r="W256" t="s">
        <v>455</v>
      </c>
      <c r="X256" t="s">
        <v>455</v>
      </c>
      <c r="Y256" t="s">
        <v>455</v>
      </c>
      <c r="Z256" t="s">
        <v>455</v>
      </c>
      <c r="AA256" t="s">
        <v>455</v>
      </c>
      <c r="AB256" t="s">
        <v>455</v>
      </c>
      <c r="AC256" t="s">
        <v>455</v>
      </c>
      <c r="AD256" t="s">
        <v>455</v>
      </c>
      <c r="AE256" t="s">
        <v>455</v>
      </c>
      <c r="AF256" t="s">
        <v>455</v>
      </c>
      <c r="AG256" t="s">
        <v>455</v>
      </c>
      <c r="AH256" t="s">
        <v>455</v>
      </c>
      <c r="AI256" t="s">
        <v>455</v>
      </c>
      <c r="AJ256" t="s">
        <v>455</v>
      </c>
      <c r="AK256" t="s">
        <v>455</v>
      </c>
      <c r="AL256" t="s">
        <v>455</v>
      </c>
    </row>
    <row r="257" spans="1:38" x14ac:dyDescent="0.35">
      <c r="A257" s="1">
        <v>256</v>
      </c>
      <c r="B257" t="s">
        <v>1119</v>
      </c>
      <c r="C257" t="s">
        <v>1007</v>
      </c>
      <c r="D257">
        <v>2021</v>
      </c>
      <c r="E257" t="s">
        <v>920</v>
      </c>
      <c r="F257" t="s">
        <v>1220</v>
      </c>
      <c r="H257">
        <v>72</v>
      </c>
      <c r="J257" t="s">
        <v>1231</v>
      </c>
      <c r="K257" t="s">
        <v>823</v>
      </c>
      <c r="L257" t="s">
        <v>527</v>
      </c>
      <c r="M257" t="s">
        <v>455</v>
      </c>
      <c r="N257" t="s">
        <v>455</v>
      </c>
      <c r="O257" t="s">
        <v>455</v>
      </c>
      <c r="P257" t="s">
        <v>455</v>
      </c>
      <c r="Q257" t="s">
        <v>455</v>
      </c>
      <c r="R257" t="s">
        <v>455</v>
      </c>
      <c r="S257" t="s">
        <v>455</v>
      </c>
      <c r="T257" t="s">
        <v>455</v>
      </c>
      <c r="U257" t="s">
        <v>455</v>
      </c>
      <c r="V257" t="s">
        <v>455</v>
      </c>
      <c r="W257" t="s">
        <v>455</v>
      </c>
      <c r="X257" t="s">
        <v>455</v>
      </c>
      <c r="Y257" t="s">
        <v>455</v>
      </c>
      <c r="Z257" t="s">
        <v>455</v>
      </c>
      <c r="AA257" t="s">
        <v>455</v>
      </c>
      <c r="AB257" t="s">
        <v>455</v>
      </c>
      <c r="AC257" t="s">
        <v>455</v>
      </c>
      <c r="AD257" t="s">
        <v>455</v>
      </c>
      <c r="AE257" t="s">
        <v>455</v>
      </c>
      <c r="AF257" t="s">
        <v>455</v>
      </c>
      <c r="AG257" t="s">
        <v>455</v>
      </c>
      <c r="AH257" t="s">
        <v>455</v>
      </c>
      <c r="AI257" t="s">
        <v>455</v>
      </c>
      <c r="AJ257" t="s">
        <v>455</v>
      </c>
      <c r="AK257" t="s">
        <v>455</v>
      </c>
      <c r="AL257" t="s">
        <v>455</v>
      </c>
    </row>
    <row r="258" spans="1:38" x14ac:dyDescent="0.35">
      <c r="A258" s="1">
        <v>257</v>
      </c>
      <c r="B258" t="s">
        <v>1120</v>
      </c>
      <c r="C258" t="s">
        <v>1008</v>
      </c>
      <c r="D258">
        <v>2021</v>
      </c>
      <c r="E258" t="s">
        <v>920</v>
      </c>
      <c r="F258" t="s">
        <v>1220</v>
      </c>
      <c r="H258">
        <v>81</v>
      </c>
      <c r="J258" t="s">
        <v>1008</v>
      </c>
      <c r="K258" t="s">
        <v>455</v>
      </c>
      <c r="L258" t="s">
        <v>455</v>
      </c>
      <c r="M258" t="s">
        <v>455</v>
      </c>
      <c r="N258" t="s">
        <v>455</v>
      </c>
      <c r="O258" t="s">
        <v>455</v>
      </c>
      <c r="P258" t="s">
        <v>455</v>
      </c>
      <c r="Q258" t="s">
        <v>455</v>
      </c>
      <c r="R258" t="s">
        <v>455</v>
      </c>
      <c r="S258" t="s">
        <v>455</v>
      </c>
      <c r="T258" t="s">
        <v>455</v>
      </c>
      <c r="U258" t="s">
        <v>455</v>
      </c>
      <c r="V258" t="s">
        <v>455</v>
      </c>
      <c r="W258" t="s">
        <v>455</v>
      </c>
      <c r="X258" t="s">
        <v>455</v>
      </c>
      <c r="Y258" t="s">
        <v>455</v>
      </c>
      <c r="Z258" t="s">
        <v>455</v>
      </c>
      <c r="AA258" t="s">
        <v>455</v>
      </c>
      <c r="AB258" t="s">
        <v>455</v>
      </c>
      <c r="AC258" t="s">
        <v>455</v>
      </c>
      <c r="AD258" t="s">
        <v>455</v>
      </c>
      <c r="AE258" t="s">
        <v>455</v>
      </c>
      <c r="AF258" t="s">
        <v>455</v>
      </c>
      <c r="AG258" t="s">
        <v>455</v>
      </c>
      <c r="AH258" t="s">
        <v>455</v>
      </c>
      <c r="AI258" t="s">
        <v>455</v>
      </c>
      <c r="AJ258" t="s">
        <v>455</v>
      </c>
      <c r="AK258" t="s">
        <v>455</v>
      </c>
      <c r="AL258" t="s">
        <v>455</v>
      </c>
    </row>
    <row r="259" spans="1:38" x14ac:dyDescent="0.35">
      <c r="A259" s="1">
        <v>258</v>
      </c>
      <c r="B259" t="s">
        <v>1121</v>
      </c>
      <c r="C259" t="s">
        <v>1009</v>
      </c>
      <c r="D259">
        <v>2021</v>
      </c>
      <c r="E259" t="s">
        <v>920</v>
      </c>
      <c r="F259" t="s">
        <v>1220</v>
      </c>
      <c r="H259">
        <v>89</v>
      </c>
      <c r="J259" t="s">
        <v>453</v>
      </c>
      <c r="K259" t="s">
        <v>321</v>
      </c>
      <c r="L259" t="s">
        <v>1272</v>
      </c>
      <c r="M259" t="s">
        <v>455</v>
      </c>
      <c r="N259" t="s">
        <v>455</v>
      </c>
      <c r="O259" t="s">
        <v>455</v>
      </c>
      <c r="P259" t="s">
        <v>455</v>
      </c>
      <c r="Q259" t="s">
        <v>455</v>
      </c>
      <c r="R259" t="s">
        <v>455</v>
      </c>
      <c r="S259" t="s">
        <v>455</v>
      </c>
      <c r="T259" t="s">
        <v>455</v>
      </c>
      <c r="U259" t="s">
        <v>455</v>
      </c>
      <c r="V259" t="s">
        <v>455</v>
      </c>
      <c r="W259" t="s">
        <v>455</v>
      </c>
      <c r="X259" t="s">
        <v>455</v>
      </c>
      <c r="Y259" t="s">
        <v>455</v>
      </c>
      <c r="Z259" t="s">
        <v>455</v>
      </c>
      <c r="AA259" t="s">
        <v>455</v>
      </c>
      <c r="AB259" t="s">
        <v>455</v>
      </c>
      <c r="AC259" t="s">
        <v>455</v>
      </c>
      <c r="AD259" t="s">
        <v>455</v>
      </c>
      <c r="AE259" t="s">
        <v>455</v>
      </c>
      <c r="AF259" t="s">
        <v>455</v>
      </c>
      <c r="AG259" t="s">
        <v>455</v>
      </c>
      <c r="AH259" t="s">
        <v>455</v>
      </c>
      <c r="AI259" t="s">
        <v>455</v>
      </c>
      <c r="AJ259" t="s">
        <v>455</v>
      </c>
      <c r="AK259" t="s">
        <v>455</v>
      </c>
      <c r="AL259" t="s">
        <v>455</v>
      </c>
    </row>
    <row r="260" spans="1:38" x14ac:dyDescent="0.35">
      <c r="A260" s="1">
        <v>259</v>
      </c>
      <c r="B260" t="s">
        <v>1122</v>
      </c>
      <c r="C260" t="s">
        <v>1010</v>
      </c>
      <c r="D260">
        <v>2021</v>
      </c>
      <c r="E260" t="s">
        <v>920</v>
      </c>
      <c r="F260" t="s">
        <v>1220</v>
      </c>
      <c r="H260">
        <v>95</v>
      </c>
      <c r="J260" t="s">
        <v>1232</v>
      </c>
      <c r="K260" t="s">
        <v>1668</v>
      </c>
      <c r="L260" t="s">
        <v>455</v>
      </c>
      <c r="M260" t="s">
        <v>455</v>
      </c>
      <c r="N260" t="s">
        <v>455</v>
      </c>
      <c r="O260" t="s">
        <v>455</v>
      </c>
      <c r="P260" t="s">
        <v>455</v>
      </c>
      <c r="Q260" t="s">
        <v>455</v>
      </c>
      <c r="R260" t="s">
        <v>455</v>
      </c>
      <c r="S260" t="s">
        <v>455</v>
      </c>
      <c r="T260" t="s">
        <v>455</v>
      </c>
      <c r="U260" t="s">
        <v>455</v>
      </c>
      <c r="V260" t="s">
        <v>455</v>
      </c>
      <c r="W260" t="s">
        <v>455</v>
      </c>
      <c r="X260" t="s">
        <v>455</v>
      </c>
      <c r="Y260" t="s">
        <v>455</v>
      </c>
      <c r="Z260" t="s">
        <v>455</v>
      </c>
      <c r="AA260" t="s">
        <v>455</v>
      </c>
      <c r="AB260" t="s">
        <v>455</v>
      </c>
      <c r="AC260" t="s">
        <v>455</v>
      </c>
      <c r="AD260" t="s">
        <v>455</v>
      </c>
      <c r="AE260" t="s">
        <v>455</v>
      </c>
      <c r="AF260" t="s">
        <v>455</v>
      </c>
      <c r="AG260" t="s">
        <v>455</v>
      </c>
      <c r="AH260" t="s">
        <v>455</v>
      </c>
      <c r="AI260" t="s">
        <v>455</v>
      </c>
      <c r="AJ260" t="s">
        <v>455</v>
      </c>
      <c r="AK260" t="s">
        <v>455</v>
      </c>
      <c r="AL260" t="s">
        <v>455</v>
      </c>
    </row>
    <row r="261" spans="1:38" x14ac:dyDescent="0.35">
      <c r="A261" s="1">
        <v>260</v>
      </c>
      <c r="B261" t="s">
        <v>1123</v>
      </c>
      <c r="C261" t="s">
        <v>1011</v>
      </c>
      <c r="D261">
        <v>2021</v>
      </c>
      <c r="E261" t="s">
        <v>920</v>
      </c>
      <c r="F261" t="s">
        <v>1221</v>
      </c>
      <c r="H261">
        <v>103</v>
      </c>
      <c r="J261" t="s">
        <v>1233</v>
      </c>
      <c r="K261" t="s">
        <v>1722</v>
      </c>
      <c r="L261" t="s">
        <v>455</v>
      </c>
      <c r="M261" t="s">
        <v>455</v>
      </c>
      <c r="N261" t="s">
        <v>455</v>
      </c>
      <c r="O261" t="s">
        <v>455</v>
      </c>
      <c r="P261" t="s">
        <v>455</v>
      </c>
      <c r="Q261" t="s">
        <v>455</v>
      </c>
      <c r="R261" t="s">
        <v>455</v>
      </c>
      <c r="S261" t="s">
        <v>455</v>
      </c>
      <c r="T261" t="s">
        <v>455</v>
      </c>
      <c r="U261" t="s">
        <v>455</v>
      </c>
      <c r="V261" t="s">
        <v>455</v>
      </c>
      <c r="W261" t="s">
        <v>455</v>
      </c>
      <c r="X261" t="s">
        <v>455</v>
      </c>
      <c r="Y261" t="s">
        <v>455</v>
      </c>
      <c r="Z261" t="s">
        <v>455</v>
      </c>
      <c r="AA261" t="s">
        <v>455</v>
      </c>
      <c r="AB261" t="s">
        <v>455</v>
      </c>
      <c r="AC261" t="s">
        <v>455</v>
      </c>
      <c r="AD261" t="s">
        <v>455</v>
      </c>
      <c r="AE261" t="s">
        <v>455</v>
      </c>
      <c r="AF261" t="s">
        <v>455</v>
      </c>
      <c r="AG261" t="s">
        <v>455</v>
      </c>
      <c r="AH261" t="s">
        <v>455</v>
      </c>
      <c r="AI261" t="s">
        <v>455</v>
      </c>
      <c r="AJ261" t="s">
        <v>455</v>
      </c>
      <c r="AK261" t="s">
        <v>455</v>
      </c>
      <c r="AL261" t="s">
        <v>455</v>
      </c>
    </row>
    <row r="262" spans="1:38" x14ac:dyDescent="0.35">
      <c r="A262" s="1">
        <v>261</v>
      </c>
      <c r="B262" t="s">
        <v>1124</v>
      </c>
      <c r="C262" t="s">
        <v>1091</v>
      </c>
      <c r="D262">
        <v>2021</v>
      </c>
      <c r="E262" t="s">
        <v>920</v>
      </c>
      <c r="F262" t="s">
        <v>1221</v>
      </c>
      <c r="H262">
        <v>106</v>
      </c>
      <c r="J262" t="s">
        <v>1234</v>
      </c>
      <c r="K262" t="s">
        <v>1723</v>
      </c>
      <c r="L262" t="s">
        <v>1724</v>
      </c>
      <c r="M262" t="s">
        <v>1725</v>
      </c>
      <c r="N262" t="s">
        <v>1726</v>
      </c>
      <c r="O262" t="s">
        <v>511</v>
      </c>
      <c r="P262" t="s">
        <v>1603</v>
      </c>
      <c r="Q262" t="s">
        <v>1727</v>
      </c>
      <c r="R262" t="s">
        <v>1728</v>
      </c>
      <c r="S262" t="s">
        <v>455</v>
      </c>
      <c r="T262" t="s">
        <v>455</v>
      </c>
      <c r="U262" t="s">
        <v>455</v>
      </c>
      <c r="V262" t="s">
        <v>455</v>
      </c>
      <c r="W262" t="s">
        <v>455</v>
      </c>
      <c r="X262" t="s">
        <v>455</v>
      </c>
      <c r="Y262" t="s">
        <v>455</v>
      </c>
      <c r="Z262" t="s">
        <v>455</v>
      </c>
      <c r="AA262" t="s">
        <v>455</v>
      </c>
      <c r="AB262" t="s">
        <v>455</v>
      </c>
      <c r="AC262" t="s">
        <v>455</v>
      </c>
      <c r="AD262" t="s">
        <v>455</v>
      </c>
      <c r="AE262" t="s">
        <v>455</v>
      </c>
      <c r="AF262" t="s">
        <v>455</v>
      </c>
      <c r="AG262" t="s">
        <v>455</v>
      </c>
      <c r="AH262" t="s">
        <v>455</v>
      </c>
      <c r="AI262" t="s">
        <v>455</v>
      </c>
      <c r="AJ262" t="s">
        <v>455</v>
      </c>
      <c r="AK262" t="s">
        <v>455</v>
      </c>
      <c r="AL262" t="s">
        <v>455</v>
      </c>
    </row>
    <row r="263" spans="1:38" x14ac:dyDescent="0.35">
      <c r="A263" s="1">
        <v>262</v>
      </c>
      <c r="B263" t="s">
        <v>1125</v>
      </c>
      <c r="C263" t="s">
        <v>1012</v>
      </c>
      <c r="D263">
        <v>2021</v>
      </c>
      <c r="E263" t="s">
        <v>920</v>
      </c>
      <c r="F263" t="s">
        <v>1221</v>
      </c>
      <c r="H263">
        <v>110</v>
      </c>
      <c r="J263" t="s">
        <v>1235</v>
      </c>
      <c r="K263" t="s">
        <v>1729</v>
      </c>
      <c r="L263" t="s">
        <v>1730</v>
      </c>
      <c r="M263" t="s">
        <v>455</v>
      </c>
      <c r="N263" t="s">
        <v>455</v>
      </c>
      <c r="O263" t="s">
        <v>455</v>
      </c>
      <c r="P263" t="s">
        <v>455</v>
      </c>
      <c r="Q263" t="s">
        <v>455</v>
      </c>
      <c r="R263" t="s">
        <v>455</v>
      </c>
      <c r="S263" t="s">
        <v>455</v>
      </c>
      <c r="T263" t="s">
        <v>455</v>
      </c>
      <c r="U263" t="s">
        <v>455</v>
      </c>
      <c r="V263" t="s">
        <v>455</v>
      </c>
      <c r="W263" t="s">
        <v>455</v>
      </c>
      <c r="X263" t="s">
        <v>455</v>
      </c>
      <c r="Y263" t="s">
        <v>455</v>
      </c>
      <c r="Z263" t="s">
        <v>455</v>
      </c>
      <c r="AA263" t="s">
        <v>455</v>
      </c>
      <c r="AB263" t="s">
        <v>455</v>
      </c>
      <c r="AC263" t="s">
        <v>455</v>
      </c>
      <c r="AD263" t="s">
        <v>455</v>
      </c>
      <c r="AE263" t="s">
        <v>455</v>
      </c>
      <c r="AF263" t="s">
        <v>455</v>
      </c>
      <c r="AG263" t="s">
        <v>455</v>
      </c>
      <c r="AH263" t="s">
        <v>455</v>
      </c>
      <c r="AI263" t="s">
        <v>455</v>
      </c>
      <c r="AJ263" t="s">
        <v>455</v>
      </c>
      <c r="AK263" t="s">
        <v>455</v>
      </c>
      <c r="AL263" t="s">
        <v>455</v>
      </c>
    </row>
    <row r="264" spans="1:38" x14ac:dyDescent="0.35">
      <c r="A264" s="1">
        <v>263</v>
      </c>
      <c r="B264" t="s">
        <v>1126</v>
      </c>
      <c r="C264" t="s">
        <v>1013</v>
      </c>
      <c r="D264">
        <v>2021</v>
      </c>
      <c r="E264" t="s">
        <v>920</v>
      </c>
      <c r="F264" t="s">
        <v>1221</v>
      </c>
      <c r="H264">
        <v>113</v>
      </c>
      <c r="J264" t="s">
        <v>1236</v>
      </c>
      <c r="K264" t="s">
        <v>1731</v>
      </c>
      <c r="L264" t="s">
        <v>1732</v>
      </c>
      <c r="M264" t="s">
        <v>455</v>
      </c>
      <c r="N264" t="s">
        <v>455</v>
      </c>
      <c r="O264" t="s">
        <v>455</v>
      </c>
      <c r="P264" t="s">
        <v>455</v>
      </c>
      <c r="Q264" t="s">
        <v>455</v>
      </c>
      <c r="R264" t="s">
        <v>455</v>
      </c>
      <c r="S264" t="s">
        <v>455</v>
      </c>
      <c r="T264" t="s">
        <v>455</v>
      </c>
      <c r="U264" t="s">
        <v>455</v>
      </c>
      <c r="V264" t="s">
        <v>455</v>
      </c>
      <c r="W264" t="s">
        <v>455</v>
      </c>
      <c r="X264" t="s">
        <v>455</v>
      </c>
      <c r="Y264" t="s">
        <v>455</v>
      </c>
      <c r="Z264" t="s">
        <v>455</v>
      </c>
      <c r="AA264" t="s">
        <v>455</v>
      </c>
      <c r="AB264" t="s">
        <v>455</v>
      </c>
      <c r="AC264" t="s">
        <v>455</v>
      </c>
      <c r="AD264" t="s">
        <v>455</v>
      </c>
      <c r="AE264" t="s">
        <v>455</v>
      </c>
      <c r="AF264" t="s">
        <v>455</v>
      </c>
      <c r="AG264" t="s">
        <v>455</v>
      </c>
      <c r="AH264" t="s">
        <v>455</v>
      </c>
      <c r="AI264" t="s">
        <v>455</v>
      </c>
      <c r="AJ264" t="s">
        <v>455</v>
      </c>
      <c r="AK264" t="s">
        <v>455</v>
      </c>
      <c r="AL264" t="s">
        <v>455</v>
      </c>
    </row>
    <row r="265" spans="1:38" x14ac:dyDescent="0.35">
      <c r="A265" s="1">
        <v>264</v>
      </c>
      <c r="B265" t="s">
        <v>1127</v>
      </c>
      <c r="C265" t="s">
        <v>1014</v>
      </c>
      <c r="D265">
        <v>2021</v>
      </c>
      <c r="E265" t="s">
        <v>920</v>
      </c>
      <c r="F265" t="s">
        <v>1221</v>
      </c>
      <c r="H265">
        <v>116</v>
      </c>
      <c r="J265" t="s">
        <v>1014</v>
      </c>
      <c r="K265" t="s">
        <v>455</v>
      </c>
      <c r="L265" t="s">
        <v>455</v>
      </c>
      <c r="M265" t="s">
        <v>455</v>
      </c>
      <c r="N265" t="s">
        <v>455</v>
      </c>
      <c r="O265" t="s">
        <v>455</v>
      </c>
      <c r="P265" t="s">
        <v>455</v>
      </c>
      <c r="Q265" t="s">
        <v>455</v>
      </c>
      <c r="R265" t="s">
        <v>455</v>
      </c>
      <c r="S265" t="s">
        <v>455</v>
      </c>
      <c r="T265" t="s">
        <v>455</v>
      </c>
      <c r="U265" t="s">
        <v>455</v>
      </c>
      <c r="V265" t="s">
        <v>455</v>
      </c>
      <c r="W265" t="s">
        <v>455</v>
      </c>
      <c r="X265" t="s">
        <v>455</v>
      </c>
      <c r="Y265" t="s">
        <v>455</v>
      </c>
      <c r="Z265" t="s">
        <v>455</v>
      </c>
      <c r="AA265" t="s">
        <v>455</v>
      </c>
      <c r="AB265" t="s">
        <v>455</v>
      </c>
      <c r="AC265" t="s">
        <v>455</v>
      </c>
      <c r="AD265" t="s">
        <v>455</v>
      </c>
      <c r="AE265" t="s">
        <v>455</v>
      </c>
      <c r="AF265" t="s">
        <v>455</v>
      </c>
      <c r="AG265" t="s">
        <v>455</v>
      </c>
      <c r="AH265" t="s">
        <v>455</v>
      </c>
      <c r="AI265" t="s">
        <v>455</v>
      </c>
      <c r="AJ265" t="s">
        <v>455</v>
      </c>
      <c r="AK265" t="s">
        <v>455</v>
      </c>
      <c r="AL265" t="s">
        <v>455</v>
      </c>
    </row>
    <row r="266" spans="1:38" x14ac:dyDescent="0.35">
      <c r="A266" s="1">
        <v>265</v>
      </c>
      <c r="B266" t="s">
        <v>1128</v>
      </c>
      <c r="C266" t="s">
        <v>1092</v>
      </c>
      <c r="D266">
        <v>2021</v>
      </c>
      <c r="E266" t="s">
        <v>920</v>
      </c>
      <c r="F266" t="s">
        <v>1221</v>
      </c>
      <c r="H266">
        <v>118</v>
      </c>
      <c r="J266" t="s">
        <v>429</v>
      </c>
      <c r="K266" t="s">
        <v>1733</v>
      </c>
      <c r="L266" t="s">
        <v>1734</v>
      </c>
      <c r="M266" t="s">
        <v>1735</v>
      </c>
      <c r="N266" t="s">
        <v>1736</v>
      </c>
      <c r="O266" t="s">
        <v>1737</v>
      </c>
      <c r="P266" t="s">
        <v>1738</v>
      </c>
      <c r="Q266" t="s">
        <v>1739</v>
      </c>
      <c r="R266" t="s">
        <v>1740</v>
      </c>
      <c r="S266" t="s">
        <v>1245</v>
      </c>
      <c r="T266" t="s">
        <v>455</v>
      </c>
      <c r="U266" t="s">
        <v>455</v>
      </c>
      <c r="V266" t="s">
        <v>455</v>
      </c>
      <c r="W266" t="s">
        <v>455</v>
      </c>
      <c r="X266" t="s">
        <v>455</v>
      </c>
      <c r="Y266" t="s">
        <v>455</v>
      </c>
      <c r="Z266" t="s">
        <v>455</v>
      </c>
      <c r="AA266" t="s">
        <v>455</v>
      </c>
      <c r="AB266" t="s">
        <v>455</v>
      </c>
      <c r="AC266" t="s">
        <v>455</v>
      </c>
      <c r="AD266" t="s">
        <v>455</v>
      </c>
      <c r="AE266" t="s">
        <v>455</v>
      </c>
      <c r="AF266" t="s">
        <v>455</v>
      </c>
      <c r="AG266" t="s">
        <v>455</v>
      </c>
      <c r="AH266" t="s">
        <v>455</v>
      </c>
      <c r="AI266" t="s">
        <v>455</v>
      </c>
      <c r="AJ266" t="s">
        <v>455</v>
      </c>
      <c r="AK266" t="s">
        <v>455</v>
      </c>
      <c r="AL266" t="s">
        <v>455</v>
      </c>
    </row>
    <row r="267" spans="1:38" x14ac:dyDescent="0.35">
      <c r="A267" s="1">
        <v>266</v>
      </c>
      <c r="B267" t="s">
        <v>1129</v>
      </c>
      <c r="C267" t="s">
        <v>1093</v>
      </c>
      <c r="D267">
        <v>2021</v>
      </c>
      <c r="E267" t="s">
        <v>920</v>
      </c>
      <c r="F267" t="s">
        <v>1221</v>
      </c>
      <c r="H267">
        <v>127</v>
      </c>
      <c r="J267" t="s">
        <v>1237</v>
      </c>
      <c r="K267" t="s">
        <v>1741</v>
      </c>
      <c r="L267" t="s">
        <v>808</v>
      </c>
      <c r="M267" t="s">
        <v>1742</v>
      </c>
      <c r="N267" t="s">
        <v>1743</v>
      </c>
      <c r="O267" t="s">
        <v>1744</v>
      </c>
      <c r="P267" t="s">
        <v>1745</v>
      </c>
      <c r="Q267" t="s">
        <v>1746</v>
      </c>
      <c r="R267" t="s">
        <v>1523</v>
      </c>
      <c r="S267" t="s">
        <v>1747</v>
      </c>
      <c r="T267" t="s">
        <v>1748</v>
      </c>
      <c r="U267" t="s">
        <v>1749</v>
      </c>
      <c r="V267" t="s">
        <v>1750</v>
      </c>
      <c r="W267" t="s">
        <v>1751</v>
      </c>
      <c r="X267" t="s">
        <v>1752</v>
      </c>
      <c r="Y267" t="s">
        <v>1753</v>
      </c>
      <c r="Z267" t="s">
        <v>1754</v>
      </c>
      <c r="AA267" t="s">
        <v>1755</v>
      </c>
      <c r="AB267" t="s">
        <v>460</v>
      </c>
      <c r="AC267" t="s">
        <v>1756</v>
      </c>
      <c r="AD267" t="s">
        <v>1757</v>
      </c>
      <c r="AE267" t="s">
        <v>1758</v>
      </c>
      <c r="AF267" t="s">
        <v>1759</v>
      </c>
      <c r="AG267" t="s">
        <v>1760</v>
      </c>
      <c r="AH267" t="s">
        <v>1761</v>
      </c>
      <c r="AI267" t="s">
        <v>1762</v>
      </c>
      <c r="AJ267" t="s">
        <v>1725</v>
      </c>
      <c r="AK267" t="s">
        <v>1763</v>
      </c>
      <c r="AL267" t="s">
        <v>459</v>
      </c>
    </row>
    <row r="268" spans="1:38" x14ac:dyDescent="0.35">
      <c r="A268" s="1">
        <v>267</v>
      </c>
      <c r="B268" t="s">
        <v>1130</v>
      </c>
      <c r="C268" t="s">
        <v>1015</v>
      </c>
      <c r="D268">
        <v>2021</v>
      </c>
      <c r="E268" t="s">
        <v>920</v>
      </c>
      <c r="F268" t="s">
        <v>1221</v>
      </c>
      <c r="H268">
        <v>137</v>
      </c>
      <c r="J268" t="s">
        <v>1238</v>
      </c>
      <c r="K268" t="s">
        <v>1764</v>
      </c>
      <c r="L268" t="s">
        <v>1765</v>
      </c>
      <c r="M268" t="s">
        <v>455</v>
      </c>
      <c r="N268" t="s">
        <v>455</v>
      </c>
      <c r="O268" t="s">
        <v>455</v>
      </c>
      <c r="P268" t="s">
        <v>455</v>
      </c>
      <c r="Q268" t="s">
        <v>455</v>
      </c>
      <c r="R268" t="s">
        <v>455</v>
      </c>
      <c r="S268" t="s">
        <v>455</v>
      </c>
      <c r="T268" t="s">
        <v>455</v>
      </c>
      <c r="U268" t="s">
        <v>455</v>
      </c>
      <c r="V268" t="s">
        <v>455</v>
      </c>
      <c r="W268" t="s">
        <v>455</v>
      </c>
      <c r="X268" t="s">
        <v>455</v>
      </c>
      <c r="Y268" t="s">
        <v>455</v>
      </c>
      <c r="Z268" t="s">
        <v>455</v>
      </c>
      <c r="AA268" t="s">
        <v>455</v>
      </c>
      <c r="AB268" t="s">
        <v>455</v>
      </c>
      <c r="AC268" t="s">
        <v>455</v>
      </c>
      <c r="AD268" t="s">
        <v>455</v>
      </c>
      <c r="AE268" t="s">
        <v>455</v>
      </c>
      <c r="AF268" t="s">
        <v>455</v>
      </c>
      <c r="AG268" t="s">
        <v>455</v>
      </c>
      <c r="AH268" t="s">
        <v>455</v>
      </c>
      <c r="AI268" t="s">
        <v>455</v>
      </c>
      <c r="AJ268" t="s">
        <v>455</v>
      </c>
      <c r="AK268" t="s">
        <v>455</v>
      </c>
      <c r="AL268" t="s">
        <v>455</v>
      </c>
    </row>
    <row r="269" spans="1:38" x14ac:dyDescent="0.35">
      <c r="A269" s="1">
        <v>268</v>
      </c>
      <c r="B269" t="s">
        <v>1131</v>
      </c>
      <c r="C269" t="s">
        <v>1016</v>
      </c>
      <c r="D269">
        <v>2021</v>
      </c>
      <c r="E269" t="s">
        <v>920</v>
      </c>
      <c r="F269" t="s">
        <v>1221</v>
      </c>
      <c r="H269">
        <v>140</v>
      </c>
      <c r="J269" t="s">
        <v>1239</v>
      </c>
      <c r="K269" t="s">
        <v>459</v>
      </c>
      <c r="L269" t="s">
        <v>455</v>
      </c>
      <c r="M269" t="s">
        <v>455</v>
      </c>
      <c r="N269" t="s">
        <v>455</v>
      </c>
      <c r="O269" t="s">
        <v>455</v>
      </c>
      <c r="P269" t="s">
        <v>455</v>
      </c>
      <c r="Q269" t="s">
        <v>455</v>
      </c>
      <c r="R269" t="s">
        <v>455</v>
      </c>
      <c r="S269" t="s">
        <v>455</v>
      </c>
      <c r="T269" t="s">
        <v>455</v>
      </c>
      <c r="U269" t="s">
        <v>455</v>
      </c>
      <c r="V269" t="s">
        <v>455</v>
      </c>
      <c r="W269" t="s">
        <v>455</v>
      </c>
      <c r="X269" t="s">
        <v>455</v>
      </c>
      <c r="Y269" t="s">
        <v>455</v>
      </c>
      <c r="Z269" t="s">
        <v>455</v>
      </c>
      <c r="AA269" t="s">
        <v>455</v>
      </c>
      <c r="AB269" t="s">
        <v>455</v>
      </c>
      <c r="AC269" t="s">
        <v>455</v>
      </c>
      <c r="AD269" t="s">
        <v>455</v>
      </c>
      <c r="AE269" t="s">
        <v>455</v>
      </c>
      <c r="AF269" t="s">
        <v>455</v>
      </c>
      <c r="AG269" t="s">
        <v>455</v>
      </c>
      <c r="AH269" t="s">
        <v>455</v>
      </c>
      <c r="AI269" t="s">
        <v>455</v>
      </c>
      <c r="AJ269" t="s">
        <v>455</v>
      </c>
      <c r="AK269" t="s">
        <v>455</v>
      </c>
      <c r="AL269" t="s">
        <v>455</v>
      </c>
    </row>
    <row r="270" spans="1:38" x14ac:dyDescent="0.35">
      <c r="A270" s="1">
        <v>269</v>
      </c>
      <c r="B270" t="s">
        <v>1132</v>
      </c>
      <c r="C270" t="s">
        <v>1017</v>
      </c>
      <c r="D270">
        <v>2021</v>
      </c>
      <c r="E270" t="s">
        <v>920</v>
      </c>
      <c r="F270" t="s">
        <v>1221</v>
      </c>
      <c r="H270">
        <v>144</v>
      </c>
      <c r="J270" t="s">
        <v>1240</v>
      </c>
      <c r="K270" t="s">
        <v>1766</v>
      </c>
      <c r="L270" t="s">
        <v>1758</v>
      </c>
      <c r="M270" t="s">
        <v>1767</v>
      </c>
      <c r="N270" t="s">
        <v>455</v>
      </c>
      <c r="O270" t="s">
        <v>455</v>
      </c>
      <c r="P270" t="s">
        <v>455</v>
      </c>
      <c r="Q270" t="s">
        <v>455</v>
      </c>
      <c r="R270" t="s">
        <v>455</v>
      </c>
      <c r="S270" t="s">
        <v>455</v>
      </c>
      <c r="T270" t="s">
        <v>455</v>
      </c>
      <c r="U270" t="s">
        <v>455</v>
      </c>
      <c r="V270" t="s">
        <v>455</v>
      </c>
      <c r="W270" t="s">
        <v>455</v>
      </c>
      <c r="X270" t="s">
        <v>455</v>
      </c>
      <c r="Y270" t="s">
        <v>455</v>
      </c>
      <c r="Z270" t="s">
        <v>455</v>
      </c>
      <c r="AA270" t="s">
        <v>455</v>
      </c>
      <c r="AB270" t="s">
        <v>455</v>
      </c>
      <c r="AC270" t="s">
        <v>455</v>
      </c>
      <c r="AD270" t="s">
        <v>455</v>
      </c>
      <c r="AE270" t="s">
        <v>455</v>
      </c>
      <c r="AF270" t="s">
        <v>455</v>
      </c>
      <c r="AG270" t="s">
        <v>455</v>
      </c>
      <c r="AH270" t="s">
        <v>455</v>
      </c>
      <c r="AI270" t="s">
        <v>455</v>
      </c>
      <c r="AJ270" t="s">
        <v>455</v>
      </c>
      <c r="AK270" t="s">
        <v>455</v>
      </c>
      <c r="AL270" t="s">
        <v>455</v>
      </c>
    </row>
    <row r="271" spans="1:38" x14ac:dyDescent="0.35">
      <c r="A271" s="1">
        <v>270</v>
      </c>
      <c r="B271" t="s">
        <v>1133</v>
      </c>
      <c r="C271" t="s">
        <v>1018</v>
      </c>
      <c r="D271">
        <v>2021</v>
      </c>
      <c r="E271" t="s">
        <v>920</v>
      </c>
      <c r="F271" t="s">
        <v>1221</v>
      </c>
      <c r="H271">
        <v>147</v>
      </c>
      <c r="J271" t="s">
        <v>1241</v>
      </c>
      <c r="K271" t="s">
        <v>1765</v>
      </c>
      <c r="L271" t="s">
        <v>455</v>
      </c>
      <c r="M271" t="s">
        <v>455</v>
      </c>
      <c r="N271" t="s">
        <v>455</v>
      </c>
      <c r="O271" t="s">
        <v>455</v>
      </c>
      <c r="P271" t="s">
        <v>455</v>
      </c>
      <c r="Q271" t="s">
        <v>455</v>
      </c>
      <c r="R271" t="s">
        <v>455</v>
      </c>
      <c r="S271" t="s">
        <v>455</v>
      </c>
      <c r="T271" t="s">
        <v>455</v>
      </c>
      <c r="U271" t="s">
        <v>455</v>
      </c>
      <c r="V271" t="s">
        <v>455</v>
      </c>
      <c r="W271" t="s">
        <v>455</v>
      </c>
      <c r="X271" t="s">
        <v>455</v>
      </c>
      <c r="Y271" t="s">
        <v>455</v>
      </c>
      <c r="Z271" t="s">
        <v>455</v>
      </c>
      <c r="AA271" t="s">
        <v>455</v>
      </c>
      <c r="AB271" t="s">
        <v>455</v>
      </c>
      <c r="AC271" t="s">
        <v>455</v>
      </c>
      <c r="AD271" t="s">
        <v>455</v>
      </c>
      <c r="AE271" t="s">
        <v>455</v>
      </c>
      <c r="AF271" t="s">
        <v>455</v>
      </c>
      <c r="AG271" t="s">
        <v>455</v>
      </c>
      <c r="AH271" t="s">
        <v>455</v>
      </c>
      <c r="AI271" t="s">
        <v>455</v>
      </c>
      <c r="AJ271" t="s">
        <v>455</v>
      </c>
      <c r="AK271" t="s">
        <v>455</v>
      </c>
      <c r="AL271" t="s">
        <v>455</v>
      </c>
    </row>
    <row r="272" spans="1:38" x14ac:dyDescent="0.35">
      <c r="A272" s="1">
        <v>271</v>
      </c>
      <c r="B272" t="s">
        <v>1134</v>
      </c>
      <c r="C272" t="s">
        <v>1019</v>
      </c>
      <c r="D272">
        <v>2021</v>
      </c>
      <c r="E272" t="s">
        <v>920</v>
      </c>
      <c r="F272" t="s">
        <v>1221</v>
      </c>
      <c r="H272">
        <v>151</v>
      </c>
      <c r="J272" t="s">
        <v>895</v>
      </c>
      <c r="K272" t="s">
        <v>1768</v>
      </c>
      <c r="L272" t="s">
        <v>1769</v>
      </c>
      <c r="M272" t="s">
        <v>409</v>
      </c>
      <c r="N272" t="s">
        <v>604</v>
      </c>
      <c r="O272" t="s">
        <v>455</v>
      </c>
      <c r="P272" t="s">
        <v>455</v>
      </c>
      <c r="Q272" t="s">
        <v>455</v>
      </c>
      <c r="R272" t="s">
        <v>455</v>
      </c>
      <c r="S272" t="s">
        <v>455</v>
      </c>
      <c r="T272" t="s">
        <v>455</v>
      </c>
      <c r="U272" t="s">
        <v>455</v>
      </c>
      <c r="V272" t="s">
        <v>455</v>
      </c>
      <c r="W272" t="s">
        <v>455</v>
      </c>
      <c r="X272" t="s">
        <v>455</v>
      </c>
      <c r="Y272" t="s">
        <v>455</v>
      </c>
      <c r="Z272" t="s">
        <v>455</v>
      </c>
      <c r="AA272" t="s">
        <v>455</v>
      </c>
      <c r="AB272" t="s">
        <v>455</v>
      </c>
      <c r="AC272" t="s">
        <v>455</v>
      </c>
      <c r="AD272" t="s">
        <v>455</v>
      </c>
      <c r="AE272" t="s">
        <v>455</v>
      </c>
      <c r="AF272" t="s">
        <v>455</v>
      </c>
      <c r="AG272" t="s">
        <v>455</v>
      </c>
      <c r="AH272" t="s">
        <v>455</v>
      </c>
      <c r="AI272" t="s">
        <v>455</v>
      </c>
      <c r="AJ272" t="s">
        <v>455</v>
      </c>
      <c r="AK272" t="s">
        <v>455</v>
      </c>
      <c r="AL272" t="s">
        <v>455</v>
      </c>
    </row>
    <row r="273" spans="1:38" x14ac:dyDescent="0.35">
      <c r="A273" s="1">
        <v>272</v>
      </c>
      <c r="B273" t="s">
        <v>1135</v>
      </c>
      <c r="C273" t="s">
        <v>1020</v>
      </c>
      <c r="D273">
        <v>2021</v>
      </c>
      <c r="E273" t="s">
        <v>920</v>
      </c>
      <c r="F273" t="s">
        <v>1221</v>
      </c>
      <c r="H273">
        <v>154</v>
      </c>
      <c r="J273" t="s">
        <v>1242</v>
      </c>
      <c r="K273" t="s">
        <v>1243</v>
      </c>
      <c r="L273" t="s">
        <v>455</v>
      </c>
      <c r="M273" t="s">
        <v>455</v>
      </c>
      <c r="N273" t="s">
        <v>455</v>
      </c>
      <c r="O273" t="s">
        <v>455</v>
      </c>
      <c r="P273" t="s">
        <v>455</v>
      </c>
      <c r="Q273" t="s">
        <v>455</v>
      </c>
      <c r="R273" t="s">
        <v>455</v>
      </c>
      <c r="S273" t="s">
        <v>455</v>
      </c>
      <c r="T273" t="s">
        <v>455</v>
      </c>
      <c r="U273" t="s">
        <v>455</v>
      </c>
      <c r="V273" t="s">
        <v>455</v>
      </c>
      <c r="W273" t="s">
        <v>455</v>
      </c>
      <c r="X273" t="s">
        <v>455</v>
      </c>
      <c r="Y273" t="s">
        <v>455</v>
      </c>
      <c r="Z273" t="s">
        <v>455</v>
      </c>
      <c r="AA273" t="s">
        <v>455</v>
      </c>
      <c r="AB273" t="s">
        <v>455</v>
      </c>
      <c r="AC273" t="s">
        <v>455</v>
      </c>
      <c r="AD273" t="s">
        <v>455</v>
      </c>
      <c r="AE273" t="s">
        <v>455</v>
      </c>
      <c r="AF273" t="s">
        <v>455</v>
      </c>
      <c r="AG273" t="s">
        <v>455</v>
      </c>
      <c r="AH273" t="s">
        <v>455</v>
      </c>
      <c r="AI273" t="s">
        <v>455</v>
      </c>
      <c r="AJ273" t="s">
        <v>455</v>
      </c>
      <c r="AK273" t="s">
        <v>455</v>
      </c>
      <c r="AL273" t="s">
        <v>455</v>
      </c>
    </row>
    <row r="274" spans="1:38" x14ac:dyDescent="0.35">
      <c r="A274" s="1">
        <v>273</v>
      </c>
      <c r="B274" t="s">
        <v>1136</v>
      </c>
      <c r="C274" t="s">
        <v>1021</v>
      </c>
      <c r="D274">
        <v>2021</v>
      </c>
      <c r="E274" t="s">
        <v>920</v>
      </c>
      <c r="F274" t="s">
        <v>1221</v>
      </c>
      <c r="H274">
        <v>160</v>
      </c>
      <c r="J274" t="s">
        <v>1243</v>
      </c>
      <c r="K274" t="s">
        <v>1242</v>
      </c>
      <c r="L274" t="s">
        <v>455</v>
      </c>
      <c r="M274" t="s">
        <v>455</v>
      </c>
      <c r="N274" t="s">
        <v>455</v>
      </c>
      <c r="O274" t="s">
        <v>455</v>
      </c>
      <c r="P274" t="s">
        <v>455</v>
      </c>
      <c r="Q274" t="s">
        <v>455</v>
      </c>
      <c r="R274" t="s">
        <v>455</v>
      </c>
      <c r="S274" t="s">
        <v>455</v>
      </c>
      <c r="T274" t="s">
        <v>455</v>
      </c>
      <c r="U274" t="s">
        <v>455</v>
      </c>
      <c r="V274" t="s">
        <v>455</v>
      </c>
      <c r="W274" t="s">
        <v>455</v>
      </c>
      <c r="X274" t="s">
        <v>455</v>
      </c>
      <c r="Y274" t="s">
        <v>455</v>
      </c>
      <c r="Z274" t="s">
        <v>455</v>
      </c>
      <c r="AA274" t="s">
        <v>455</v>
      </c>
      <c r="AB274" t="s">
        <v>455</v>
      </c>
      <c r="AC274" t="s">
        <v>455</v>
      </c>
      <c r="AD274" t="s">
        <v>455</v>
      </c>
      <c r="AE274" t="s">
        <v>455</v>
      </c>
      <c r="AF274" t="s">
        <v>455</v>
      </c>
      <c r="AG274" t="s">
        <v>455</v>
      </c>
      <c r="AH274" t="s">
        <v>455</v>
      </c>
      <c r="AI274" t="s">
        <v>455</v>
      </c>
      <c r="AJ274" t="s">
        <v>455</v>
      </c>
      <c r="AK274" t="s">
        <v>455</v>
      </c>
      <c r="AL274" t="s">
        <v>455</v>
      </c>
    </row>
    <row r="275" spans="1:38" x14ac:dyDescent="0.35">
      <c r="A275" s="1">
        <v>274</v>
      </c>
      <c r="B275" t="s">
        <v>1137</v>
      </c>
      <c r="C275" t="s">
        <v>1096</v>
      </c>
      <c r="D275">
        <v>2021</v>
      </c>
      <c r="E275" t="s">
        <v>920</v>
      </c>
      <c r="F275" t="s">
        <v>1221</v>
      </c>
      <c r="H275">
        <v>163</v>
      </c>
      <c r="J275" t="s">
        <v>460</v>
      </c>
      <c r="K275" t="s">
        <v>324</v>
      </c>
      <c r="L275" t="s">
        <v>1770</v>
      </c>
      <c r="M275" t="s">
        <v>1771</v>
      </c>
      <c r="N275" t="s">
        <v>1772</v>
      </c>
      <c r="O275" t="s">
        <v>1773</v>
      </c>
      <c r="P275" t="s">
        <v>1774</v>
      </c>
      <c r="Q275" t="s">
        <v>1775</v>
      </c>
      <c r="R275" t="s">
        <v>1758</v>
      </c>
      <c r="S275" t="s">
        <v>1776</v>
      </c>
      <c r="T275" t="s">
        <v>1243</v>
      </c>
      <c r="U275" t="s">
        <v>1242</v>
      </c>
      <c r="V275" t="s">
        <v>459</v>
      </c>
      <c r="W275" t="s">
        <v>455</v>
      </c>
      <c r="X275" t="s">
        <v>455</v>
      </c>
      <c r="Y275" t="s">
        <v>455</v>
      </c>
      <c r="Z275" t="s">
        <v>455</v>
      </c>
      <c r="AA275" t="s">
        <v>455</v>
      </c>
      <c r="AB275" t="s">
        <v>455</v>
      </c>
      <c r="AC275" t="s">
        <v>455</v>
      </c>
      <c r="AD275" t="s">
        <v>455</v>
      </c>
      <c r="AE275" t="s">
        <v>455</v>
      </c>
      <c r="AF275" t="s">
        <v>455</v>
      </c>
      <c r="AG275" t="s">
        <v>455</v>
      </c>
      <c r="AH275" t="s">
        <v>455</v>
      </c>
      <c r="AI275" t="s">
        <v>455</v>
      </c>
      <c r="AJ275" t="s">
        <v>455</v>
      </c>
      <c r="AK275" t="s">
        <v>455</v>
      </c>
      <c r="AL275" t="s">
        <v>455</v>
      </c>
    </row>
    <row r="276" spans="1:38" x14ac:dyDescent="0.35">
      <c r="A276" s="1">
        <v>275</v>
      </c>
      <c r="B276" t="s">
        <v>1138</v>
      </c>
      <c r="C276" t="s">
        <v>1022</v>
      </c>
      <c r="D276">
        <v>2021</v>
      </c>
      <c r="E276" t="s">
        <v>920</v>
      </c>
      <c r="F276" t="s">
        <v>1221</v>
      </c>
      <c r="H276">
        <v>173</v>
      </c>
      <c r="J276" t="s">
        <v>1244</v>
      </c>
      <c r="K276" t="s">
        <v>1777</v>
      </c>
      <c r="L276" t="s">
        <v>455</v>
      </c>
      <c r="M276" t="s">
        <v>455</v>
      </c>
      <c r="N276" t="s">
        <v>455</v>
      </c>
      <c r="O276" t="s">
        <v>455</v>
      </c>
      <c r="P276" t="s">
        <v>455</v>
      </c>
      <c r="Q276" t="s">
        <v>455</v>
      </c>
      <c r="R276" t="s">
        <v>455</v>
      </c>
      <c r="S276" t="s">
        <v>455</v>
      </c>
      <c r="T276" t="s">
        <v>455</v>
      </c>
      <c r="U276" t="s">
        <v>455</v>
      </c>
      <c r="V276" t="s">
        <v>455</v>
      </c>
      <c r="W276" t="s">
        <v>455</v>
      </c>
      <c r="X276" t="s">
        <v>455</v>
      </c>
      <c r="Y276" t="s">
        <v>455</v>
      </c>
      <c r="Z276" t="s">
        <v>455</v>
      </c>
      <c r="AA276" t="s">
        <v>455</v>
      </c>
      <c r="AB276" t="s">
        <v>455</v>
      </c>
      <c r="AC276" t="s">
        <v>455</v>
      </c>
      <c r="AD276" t="s">
        <v>455</v>
      </c>
      <c r="AE276" t="s">
        <v>455</v>
      </c>
      <c r="AF276" t="s">
        <v>455</v>
      </c>
      <c r="AG276" t="s">
        <v>455</v>
      </c>
      <c r="AH276" t="s">
        <v>455</v>
      </c>
      <c r="AI276" t="s">
        <v>455</v>
      </c>
      <c r="AJ276" t="s">
        <v>455</v>
      </c>
      <c r="AK276" t="s">
        <v>455</v>
      </c>
      <c r="AL276" t="s">
        <v>455</v>
      </c>
    </row>
    <row r="277" spans="1:38" x14ac:dyDescent="0.35">
      <c r="A277" s="1">
        <v>276</v>
      </c>
      <c r="B277" t="s">
        <v>1139</v>
      </c>
      <c r="C277" t="s">
        <v>1023</v>
      </c>
      <c r="D277">
        <v>2021</v>
      </c>
      <c r="E277" t="s">
        <v>920</v>
      </c>
      <c r="F277" t="s">
        <v>1221</v>
      </c>
      <c r="H277">
        <v>176</v>
      </c>
      <c r="J277" t="s">
        <v>1245</v>
      </c>
      <c r="K277" t="s">
        <v>1778</v>
      </c>
      <c r="L277" t="s">
        <v>429</v>
      </c>
      <c r="M277" t="s">
        <v>455</v>
      </c>
      <c r="N277" t="s">
        <v>455</v>
      </c>
      <c r="O277" t="s">
        <v>455</v>
      </c>
      <c r="P277" t="s">
        <v>455</v>
      </c>
      <c r="Q277" t="s">
        <v>455</v>
      </c>
      <c r="R277" t="s">
        <v>455</v>
      </c>
      <c r="S277" t="s">
        <v>455</v>
      </c>
      <c r="T277" t="s">
        <v>455</v>
      </c>
      <c r="U277" t="s">
        <v>455</v>
      </c>
      <c r="V277" t="s">
        <v>455</v>
      </c>
      <c r="W277" t="s">
        <v>455</v>
      </c>
      <c r="X277" t="s">
        <v>455</v>
      </c>
      <c r="Y277" t="s">
        <v>455</v>
      </c>
      <c r="Z277" t="s">
        <v>455</v>
      </c>
      <c r="AA277" t="s">
        <v>455</v>
      </c>
      <c r="AB277" t="s">
        <v>455</v>
      </c>
      <c r="AC277" t="s">
        <v>455</v>
      </c>
      <c r="AD277" t="s">
        <v>455</v>
      </c>
      <c r="AE277" t="s">
        <v>455</v>
      </c>
      <c r="AF277" t="s">
        <v>455</v>
      </c>
      <c r="AG277" t="s">
        <v>455</v>
      </c>
      <c r="AH277" t="s">
        <v>455</v>
      </c>
      <c r="AI277" t="s">
        <v>455</v>
      </c>
      <c r="AJ277" t="s">
        <v>455</v>
      </c>
      <c r="AK277" t="s">
        <v>455</v>
      </c>
      <c r="AL277" t="s">
        <v>455</v>
      </c>
    </row>
    <row r="278" spans="1:38" x14ac:dyDescent="0.35">
      <c r="A278" s="1">
        <v>277</v>
      </c>
      <c r="B278" t="s">
        <v>1140</v>
      </c>
      <c r="C278" t="s">
        <v>174</v>
      </c>
      <c r="D278">
        <v>2021</v>
      </c>
      <c r="E278" t="s">
        <v>920</v>
      </c>
      <c r="F278" t="s">
        <v>1222</v>
      </c>
      <c r="H278">
        <v>179</v>
      </c>
      <c r="J278" t="s">
        <v>409</v>
      </c>
      <c r="K278" t="s">
        <v>604</v>
      </c>
      <c r="L278" t="s">
        <v>455</v>
      </c>
      <c r="M278" t="s">
        <v>455</v>
      </c>
      <c r="N278" t="s">
        <v>455</v>
      </c>
      <c r="O278" t="s">
        <v>455</v>
      </c>
      <c r="P278" t="s">
        <v>455</v>
      </c>
      <c r="Q278" t="s">
        <v>455</v>
      </c>
      <c r="R278" t="s">
        <v>455</v>
      </c>
      <c r="S278" t="s">
        <v>455</v>
      </c>
      <c r="T278" t="s">
        <v>455</v>
      </c>
      <c r="U278" t="s">
        <v>455</v>
      </c>
      <c r="V278" t="s">
        <v>455</v>
      </c>
      <c r="W278" t="s">
        <v>455</v>
      </c>
      <c r="X278" t="s">
        <v>455</v>
      </c>
      <c r="Y278" t="s">
        <v>455</v>
      </c>
      <c r="Z278" t="s">
        <v>455</v>
      </c>
      <c r="AA278" t="s">
        <v>455</v>
      </c>
      <c r="AB278" t="s">
        <v>455</v>
      </c>
      <c r="AC278" t="s">
        <v>455</v>
      </c>
      <c r="AD278" t="s">
        <v>455</v>
      </c>
      <c r="AE278" t="s">
        <v>455</v>
      </c>
      <c r="AF278" t="s">
        <v>455</v>
      </c>
      <c r="AG278" t="s">
        <v>455</v>
      </c>
      <c r="AH278" t="s">
        <v>455</v>
      </c>
      <c r="AI278" t="s">
        <v>455</v>
      </c>
      <c r="AJ278" t="s">
        <v>455</v>
      </c>
      <c r="AK278" t="s">
        <v>455</v>
      </c>
      <c r="AL278" t="s">
        <v>455</v>
      </c>
    </row>
    <row r="279" spans="1:38" x14ac:dyDescent="0.35">
      <c r="A279" s="1">
        <v>278</v>
      </c>
      <c r="B279" t="s">
        <v>1141</v>
      </c>
      <c r="C279" t="s">
        <v>1024</v>
      </c>
      <c r="D279">
        <v>2021</v>
      </c>
      <c r="E279" t="s">
        <v>920</v>
      </c>
      <c r="F279" t="s">
        <v>1222</v>
      </c>
      <c r="H279">
        <v>182</v>
      </c>
      <c r="J279" t="s">
        <v>1246</v>
      </c>
      <c r="K279" t="s">
        <v>1779</v>
      </c>
      <c r="L279" t="s">
        <v>455</v>
      </c>
      <c r="M279" t="s">
        <v>455</v>
      </c>
      <c r="N279" t="s">
        <v>455</v>
      </c>
      <c r="O279" t="s">
        <v>455</v>
      </c>
      <c r="P279" t="s">
        <v>455</v>
      </c>
      <c r="Q279" t="s">
        <v>455</v>
      </c>
      <c r="R279" t="s">
        <v>455</v>
      </c>
      <c r="S279" t="s">
        <v>455</v>
      </c>
      <c r="T279" t="s">
        <v>455</v>
      </c>
      <c r="U279" t="s">
        <v>455</v>
      </c>
      <c r="V279" t="s">
        <v>455</v>
      </c>
      <c r="W279" t="s">
        <v>455</v>
      </c>
      <c r="X279" t="s">
        <v>455</v>
      </c>
      <c r="Y279" t="s">
        <v>455</v>
      </c>
      <c r="Z279" t="s">
        <v>455</v>
      </c>
      <c r="AA279" t="s">
        <v>455</v>
      </c>
      <c r="AB279" t="s">
        <v>455</v>
      </c>
      <c r="AC279" t="s">
        <v>455</v>
      </c>
      <c r="AD279" t="s">
        <v>455</v>
      </c>
      <c r="AE279" t="s">
        <v>455</v>
      </c>
      <c r="AF279" t="s">
        <v>455</v>
      </c>
      <c r="AG279" t="s">
        <v>455</v>
      </c>
      <c r="AH279" t="s">
        <v>455</v>
      </c>
      <c r="AI279" t="s">
        <v>455</v>
      </c>
      <c r="AJ279" t="s">
        <v>455</v>
      </c>
      <c r="AK279" t="s">
        <v>455</v>
      </c>
      <c r="AL279" t="s">
        <v>455</v>
      </c>
    </row>
    <row r="280" spans="1:38" x14ac:dyDescent="0.35">
      <c r="A280" s="1">
        <v>279</v>
      </c>
      <c r="B280" t="s">
        <v>1142</v>
      </c>
      <c r="C280" t="s">
        <v>1025</v>
      </c>
      <c r="D280">
        <v>2021</v>
      </c>
      <c r="E280" t="s">
        <v>920</v>
      </c>
      <c r="F280" t="s">
        <v>1222</v>
      </c>
      <c r="H280">
        <v>191</v>
      </c>
      <c r="J280" t="s">
        <v>418</v>
      </c>
      <c r="K280" t="s">
        <v>351</v>
      </c>
      <c r="L280" t="s">
        <v>515</v>
      </c>
      <c r="M280" t="s">
        <v>455</v>
      </c>
      <c r="N280" t="s">
        <v>455</v>
      </c>
      <c r="O280" t="s">
        <v>455</v>
      </c>
      <c r="P280" t="s">
        <v>455</v>
      </c>
      <c r="Q280" t="s">
        <v>455</v>
      </c>
      <c r="R280" t="s">
        <v>455</v>
      </c>
      <c r="S280" t="s">
        <v>455</v>
      </c>
      <c r="T280" t="s">
        <v>455</v>
      </c>
      <c r="U280" t="s">
        <v>455</v>
      </c>
      <c r="V280" t="s">
        <v>455</v>
      </c>
      <c r="W280" t="s">
        <v>455</v>
      </c>
      <c r="X280" t="s">
        <v>455</v>
      </c>
      <c r="Y280" t="s">
        <v>455</v>
      </c>
      <c r="Z280" t="s">
        <v>455</v>
      </c>
      <c r="AA280" t="s">
        <v>455</v>
      </c>
      <c r="AB280" t="s">
        <v>455</v>
      </c>
      <c r="AC280" t="s">
        <v>455</v>
      </c>
      <c r="AD280" t="s">
        <v>455</v>
      </c>
      <c r="AE280" t="s">
        <v>455</v>
      </c>
      <c r="AF280" t="s">
        <v>455</v>
      </c>
      <c r="AG280" t="s">
        <v>455</v>
      </c>
      <c r="AH280" t="s">
        <v>455</v>
      </c>
      <c r="AI280" t="s">
        <v>455</v>
      </c>
      <c r="AJ280" t="s">
        <v>455</v>
      </c>
      <c r="AK280" t="s">
        <v>455</v>
      </c>
      <c r="AL280" t="s">
        <v>455</v>
      </c>
    </row>
    <row r="281" spans="1:38" x14ac:dyDescent="0.35">
      <c r="A281" s="1">
        <v>280</v>
      </c>
      <c r="B281" t="s">
        <v>1143</v>
      </c>
      <c r="C281" t="s">
        <v>1026</v>
      </c>
      <c r="D281">
        <v>2021</v>
      </c>
      <c r="E281" t="s">
        <v>920</v>
      </c>
      <c r="F281" t="s">
        <v>1222</v>
      </c>
      <c r="H281">
        <v>194</v>
      </c>
      <c r="J281" t="s">
        <v>1026</v>
      </c>
      <c r="K281" t="s">
        <v>455</v>
      </c>
      <c r="L281" t="s">
        <v>455</v>
      </c>
      <c r="M281" t="s">
        <v>455</v>
      </c>
      <c r="N281" t="s">
        <v>455</v>
      </c>
      <c r="O281" t="s">
        <v>455</v>
      </c>
      <c r="P281" t="s">
        <v>455</v>
      </c>
      <c r="Q281" t="s">
        <v>455</v>
      </c>
      <c r="R281" t="s">
        <v>455</v>
      </c>
      <c r="S281" t="s">
        <v>455</v>
      </c>
      <c r="T281" t="s">
        <v>455</v>
      </c>
      <c r="U281" t="s">
        <v>455</v>
      </c>
      <c r="V281" t="s">
        <v>455</v>
      </c>
      <c r="W281" t="s">
        <v>455</v>
      </c>
      <c r="X281" t="s">
        <v>455</v>
      </c>
      <c r="Y281" t="s">
        <v>455</v>
      </c>
      <c r="Z281" t="s">
        <v>455</v>
      </c>
      <c r="AA281" t="s">
        <v>455</v>
      </c>
      <c r="AB281" t="s">
        <v>455</v>
      </c>
      <c r="AC281" t="s">
        <v>455</v>
      </c>
      <c r="AD281" t="s">
        <v>455</v>
      </c>
      <c r="AE281" t="s">
        <v>455</v>
      </c>
      <c r="AF281" t="s">
        <v>455</v>
      </c>
      <c r="AG281" t="s">
        <v>455</v>
      </c>
      <c r="AH281" t="s">
        <v>455</v>
      </c>
      <c r="AI281" t="s">
        <v>455</v>
      </c>
      <c r="AJ281" t="s">
        <v>455</v>
      </c>
      <c r="AK281" t="s">
        <v>455</v>
      </c>
      <c r="AL281" t="s">
        <v>455</v>
      </c>
    </row>
    <row r="282" spans="1:38" x14ac:dyDescent="0.35">
      <c r="A282" s="1">
        <v>281</v>
      </c>
      <c r="B282" t="s">
        <v>1144</v>
      </c>
      <c r="C282" t="s">
        <v>1027</v>
      </c>
      <c r="D282">
        <v>2021</v>
      </c>
      <c r="E282" t="s">
        <v>920</v>
      </c>
      <c r="F282" t="s">
        <v>1222</v>
      </c>
      <c r="H282">
        <v>197</v>
      </c>
      <c r="J282" t="s">
        <v>695</v>
      </c>
      <c r="K282" t="s">
        <v>862</v>
      </c>
      <c r="L282" t="s">
        <v>455</v>
      </c>
      <c r="M282" t="s">
        <v>455</v>
      </c>
      <c r="N282" t="s">
        <v>455</v>
      </c>
      <c r="O282" t="s">
        <v>455</v>
      </c>
      <c r="P282" t="s">
        <v>455</v>
      </c>
      <c r="Q282" t="s">
        <v>455</v>
      </c>
      <c r="R282" t="s">
        <v>455</v>
      </c>
      <c r="S282" t="s">
        <v>455</v>
      </c>
      <c r="T282" t="s">
        <v>455</v>
      </c>
      <c r="U282" t="s">
        <v>455</v>
      </c>
      <c r="V282" t="s">
        <v>455</v>
      </c>
      <c r="W282" t="s">
        <v>455</v>
      </c>
      <c r="X282" t="s">
        <v>455</v>
      </c>
      <c r="Y282" t="s">
        <v>455</v>
      </c>
      <c r="Z282" t="s">
        <v>455</v>
      </c>
      <c r="AA282" t="s">
        <v>455</v>
      </c>
      <c r="AB282" t="s">
        <v>455</v>
      </c>
      <c r="AC282" t="s">
        <v>455</v>
      </c>
      <c r="AD282" t="s">
        <v>455</v>
      </c>
      <c r="AE282" t="s">
        <v>455</v>
      </c>
      <c r="AF282" t="s">
        <v>455</v>
      </c>
      <c r="AG282" t="s">
        <v>455</v>
      </c>
      <c r="AH282" t="s">
        <v>455</v>
      </c>
      <c r="AI282" t="s">
        <v>455</v>
      </c>
      <c r="AJ282" t="s">
        <v>455</v>
      </c>
      <c r="AK282" t="s">
        <v>455</v>
      </c>
      <c r="AL282" t="s">
        <v>455</v>
      </c>
    </row>
    <row r="283" spans="1:38" x14ac:dyDescent="0.35">
      <c r="A283" s="1">
        <v>282</v>
      </c>
      <c r="B283" t="s">
        <v>1145</v>
      </c>
      <c r="C283" t="s">
        <v>1028</v>
      </c>
      <c r="D283">
        <v>2021</v>
      </c>
      <c r="E283" t="s">
        <v>920</v>
      </c>
      <c r="F283" t="s">
        <v>1222</v>
      </c>
      <c r="H283">
        <v>206</v>
      </c>
      <c r="J283" t="s">
        <v>1247</v>
      </c>
      <c r="K283" t="s">
        <v>341</v>
      </c>
      <c r="L283" t="s">
        <v>502</v>
      </c>
      <c r="M283" t="s">
        <v>455</v>
      </c>
      <c r="N283" t="s">
        <v>455</v>
      </c>
      <c r="O283" t="s">
        <v>455</v>
      </c>
      <c r="P283" t="s">
        <v>455</v>
      </c>
      <c r="Q283" t="s">
        <v>455</v>
      </c>
      <c r="R283" t="s">
        <v>455</v>
      </c>
      <c r="S283" t="s">
        <v>455</v>
      </c>
      <c r="T283" t="s">
        <v>455</v>
      </c>
      <c r="U283" t="s">
        <v>455</v>
      </c>
      <c r="V283" t="s">
        <v>455</v>
      </c>
      <c r="W283" t="s">
        <v>455</v>
      </c>
      <c r="X283" t="s">
        <v>455</v>
      </c>
      <c r="Y283" t="s">
        <v>455</v>
      </c>
      <c r="Z283" t="s">
        <v>455</v>
      </c>
      <c r="AA283" t="s">
        <v>455</v>
      </c>
      <c r="AB283" t="s">
        <v>455</v>
      </c>
      <c r="AC283" t="s">
        <v>455</v>
      </c>
      <c r="AD283" t="s">
        <v>455</v>
      </c>
      <c r="AE283" t="s">
        <v>455</v>
      </c>
      <c r="AF283" t="s">
        <v>455</v>
      </c>
      <c r="AG283" t="s">
        <v>455</v>
      </c>
      <c r="AH283" t="s">
        <v>455</v>
      </c>
      <c r="AI283" t="s">
        <v>455</v>
      </c>
      <c r="AJ283" t="s">
        <v>455</v>
      </c>
      <c r="AK283" t="s">
        <v>455</v>
      </c>
      <c r="AL283" t="s">
        <v>455</v>
      </c>
    </row>
    <row r="284" spans="1:38" x14ac:dyDescent="0.35">
      <c r="A284" s="1">
        <v>283</v>
      </c>
      <c r="B284" t="s">
        <v>1146</v>
      </c>
      <c r="C284" t="s">
        <v>1029</v>
      </c>
      <c r="D284">
        <v>2021</v>
      </c>
      <c r="E284" t="s">
        <v>920</v>
      </c>
      <c r="F284" t="s">
        <v>1223</v>
      </c>
      <c r="H284">
        <v>213</v>
      </c>
      <c r="J284" t="s">
        <v>1248</v>
      </c>
      <c r="K284" t="s">
        <v>1780</v>
      </c>
      <c r="L284" t="s">
        <v>1781</v>
      </c>
      <c r="M284" t="s">
        <v>504</v>
      </c>
      <c r="N284" t="s">
        <v>455</v>
      </c>
      <c r="O284" t="s">
        <v>455</v>
      </c>
      <c r="P284" t="s">
        <v>455</v>
      </c>
      <c r="Q284" t="s">
        <v>455</v>
      </c>
      <c r="R284" t="s">
        <v>455</v>
      </c>
      <c r="S284" t="s">
        <v>455</v>
      </c>
      <c r="T284" t="s">
        <v>455</v>
      </c>
      <c r="U284" t="s">
        <v>455</v>
      </c>
      <c r="V284" t="s">
        <v>455</v>
      </c>
      <c r="W284" t="s">
        <v>455</v>
      </c>
      <c r="X284" t="s">
        <v>455</v>
      </c>
      <c r="Y284" t="s">
        <v>455</v>
      </c>
      <c r="Z284" t="s">
        <v>455</v>
      </c>
      <c r="AA284" t="s">
        <v>455</v>
      </c>
      <c r="AB284" t="s">
        <v>455</v>
      </c>
      <c r="AC284" t="s">
        <v>455</v>
      </c>
      <c r="AD284" t="s">
        <v>455</v>
      </c>
      <c r="AE284" t="s">
        <v>455</v>
      </c>
      <c r="AF284" t="s">
        <v>455</v>
      </c>
      <c r="AG284" t="s">
        <v>455</v>
      </c>
      <c r="AH284" t="s">
        <v>455</v>
      </c>
      <c r="AI284" t="s">
        <v>455</v>
      </c>
      <c r="AJ284" t="s">
        <v>455</v>
      </c>
      <c r="AK284" t="s">
        <v>455</v>
      </c>
      <c r="AL284" t="s">
        <v>455</v>
      </c>
    </row>
    <row r="285" spans="1:38" x14ac:dyDescent="0.35">
      <c r="A285" s="1">
        <v>284</v>
      </c>
      <c r="B285" t="s">
        <v>1147</v>
      </c>
      <c r="C285" t="s">
        <v>185</v>
      </c>
      <c r="D285">
        <v>2021</v>
      </c>
      <c r="E285" t="s">
        <v>920</v>
      </c>
      <c r="F285" t="s">
        <v>1223</v>
      </c>
      <c r="H285">
        <v>217</v>
      </c>
      <c r="J285" t="s">
        <v>185</v>
      </c>
      <c r="K285" t="s">
        <v>455</v>
      </c>
      <c r="L285" t="s">
        <v>455</v>
      </c>
      <c r="M285" t="s">
        <v>455</v>
      </c>
      <c r="N285" t="s">
        <v>455</v>
      </c>
      <c r="O285" t="s">
        <v>455</v>
      </c>
      <c r="P285" t="s">
        <v>455</v>
      </c>
      <c r="Q285" t="s">
        <v>455</v>
      </c>
      <c r="R285" t="s">
        <v>455</v>
      </c>
      <c r="S285" t="s">
        <v>455</v>
      </c>
      <c r="T285" t="s">
        <v>455</v>
      </c>
      <c r="U285" t="s">
        <v>455</v>
      </c>
      <c r="V285" t="s">
        <v>455</v>
      </c>
      <c r="W285" t="s">
        <v>455</v>
      </c>
      <c r="X285" t="s">
        <v>455</v>
      </c>
      <c r="Y285" t="s">
        <v>455</v>
      </c>
      <c r="Z285" t="s">
        <v>455</v>
      </c>
      <c r="AA285" t="s">
        <v>455</v>
      </c>
      <c r="AB285" t="s">
        <v>455</v>
      </c>
      <c r="AC285" t="s">
        <v>455</v>
      </c>
      <c r="AD285" t="s">
        <v>455</v>
      </c>
      <c r="AE285" t="s">
        <v>455</v>
      </c>
      <c r="AF285" t="s">
        <v>455</v>
      </c>
      <c r="AG285" t="s">
        <v>455</v>
      </c>
      <c r="AH285" t="s">
        <v>455</v>
      </c>
      <c r="AI285" t="s">
        <v>455</v>
      </c>
      <c r="AJ285" t="s">
        <v>455</v>
      </c>
      <c r="AK285" t="s">
        <v>455</v>
      </c>
      <c r="AL285" t="s">
        <v>455</v>
      </c>
    </row>
    <row r="286" spans="1:38" x14ac:dyDescent="0.35">
      <c r="A286" s="1">
        <v>285</v>
      </c>
      <c r="B286" t="s">
        <v>1148</v>
      </c>
      <c r="C286" t="s">
        <v>1030</v>
      </c>
      <c r="D286">
        <v>2021</v>
      </c>
      <c r="E286" t="s">
        <v>920</v>
      </c>
      <c r="F286" t="s">
        <v>1223</v>
      </c>
      <c r="H286">
        <v>223</v>
      </c>
      <c r="J286" t="s">
        <v>1030</v>
      </c>
      <c r="K286" t="s">
        <v>455</v>
      </c>
      <c r="L286" t="s">
        <v>455</v>
      </c>
      <c r="M286" t="s">
        <v>455</v>
      </c>
      <c r="N286" t="s">
        <v>455</v>
      </c>
      <c r="O286" t="s">
        <v>455</v>
      </c>
      <c r="P286" t="s">
        <v>455</v>
      </c>
      <c r="Q286" t="s">
        <v>455</v>
      </c>
      <c r="R286" t="s">
        <v>455</v>
      </c>
      <c r="S286" t="s">
        <v>455</v>
      </c>
      <c r="T286" t="s">
        <v>455</v>
      </c>
      <c r="U286" t="s">
        <v>455</v>
      </c>
      <c r="V286" t="s">
        <v>455</v>
      </c>
      <c r="W286" t="s">
        <v>455</v>
      </c>
      <c r="X286" t="s">
        <v>455</v>
      </c>
      <c r="Y286" t="s">
        <v>455</v>
      </c>
      <c r="Z286" t="s">
        <v>455</v>
      </c>
      <c r="AA286" t="s">
        <v>455</v>
      </c>
      <c r="AB286" t="s">
        <v>455</v>
      </c>
      <c r="AC286" t="s">
        <v>455</v>
      </c>
      <c r="AD286" t="s">
        <v>455</v>
      </c>
      <c r="AE286" t="s">
        <v>455</v>
      </c>
      <c r="AF286" t="s">
        <v>455</v>
      </c>
      <c r="AG286" t="s">
        <v>455</v>
      </c>
      <c r="AH286" t="s">
        <v>455</v>
      </c>
      <c r="AI286" t="s">
        <v>455</v>
      </c>
      <c r="AJ286" t="s">
        <v>455</v>
      </c>
      <c r="AK286" t="s">
        <v>455</v>
      </c>
      <c r="AL286" t="s">
        <v>455</v>
      </c>
    </row>
    <row r="287" spans="1:38" x14ac:dyDescent="0.35">
      <c r="A287" s="1">
        <v>286</v>
      </c>
      <c r="B287" t="s">
        <v>1149</v>
      </c>
      <c r="C287" t="s">
        <v>1031</v>
      </c>
      <c r="D287">
        <v>2021</v>
      </c>
      <c r="E287" t="s">
        <v>920</v>
      </c>
      <c r="F287" t="s">
        <v>1223</v>
      </c>
      <c r="H287">
        <v>226</v>
      </c>
      <c r="J287" t="s">
        <v>1031</v>
      </c>
      <c r="K287" t="s">
        <v>455</v>
      </c>
      <c r="L287" t="s">
        <v>455</v>
      </c>
      <c r="M287" t="s">
        <v>455</v>
      </c>
      <c r="N287" t="s">
        <v>455</v>
      </c>
      <c r="O287" t="s">
        <v>455</v>
      </c>
      <c r="P287" t="s">
        <v>455</v>
      </c>
      <c r="Q287" t="s">
        <v>455</v>
      </c>
      <c r="R287" t="s">
        <v>455</v>
      </c>
      <c r="S287" t="s">
        <v>455</v>
      </c>
      <c r="T287" t="s">
        <v>455</v>
      </c>
      <c r="U287" t="s">
        <v>455</v>
      </c>
      <c r="V287" t="s">
        <v>455</v>
      </c>
      <c r="W287" t="s">
        <v>455</v>
      </c>
      <c r="X287" t="s">
        <v>455</v>
      </c>
      <c r="Y287" t="s">
        <v>455</v>
      </c>
      <c r="Z287" t="s">
        <v>455</v>
      </c>
      <c r="AA287" t="s">
        <v>455</v>
      </c>
      <c r="AB287" t="s">
        <v>455</v>
      </c>
      <c r="AC287" t="s">
        <v>455</v>
      </c>
      <c r="AD287" t="s">
        <v>455</v>
      </c>
      <c r="AE287" t="s">
        <v>455</v>
      </c>
      <c r="AF287" t="s">
        <v>455</v>
      </c>
      <c r="AG287" t="s">
        <v>455</v>
      </c>
      <c r="AH287" t="s">
        <v>455</v>
      </c>
      <c r="AI287" t="s">
        <v>455</v>
      </c>
      <c r="AJ287" t="s">
        <v>455</v>
      </c>
      <c r="AK287" t="s">
        <v>455</v>
      </c>
      <c r="AL287" t="s">
        <v>455</v>
      </c>
    </row>
    <row r="288" spans="1:38" x14ac:dyDescent="0.35">
      <c r="A288" s="1">
        <v>287</v>
      </c>
      <c r="B288" t="s">
        <v>1150</v>
      </c>
      <c r="C288" t="s">
        <v>342</v>
      </c>
      <c r="D288">
        <v>2021</v>
      </c>
      <c r="E288" t="s">
        <v>920</v>
      </c>
      <c r="F288" t="s">
        <v>186</v>
      </c>
      <c r="H288">
        <v>229</v>
      </c>
      <c r="J288" t="s">
        <v>342</v>
      </c>
      <c r="K288" t="s">
        <v>455</v>
      </c>
      <c r="L288" t="s">
        <v>455</v>
      </c>
      <c r="M288" t="s">
        <v>455</v>
      </c>
      <c r="N288" t="s">
        <v>455</v>
      </c>
      <c r="O288" t="s">
        <v>455</v>
      </c>
      <c r="P288" t="s">
        <v>455</v>
      </c>
      <c r="Q288" t="s">
        <v>455</v>
      </c>
      <c r="R288" t="s">
        <v>455</v>
      </c>
      <c r="S288" t="s">
        <v>455</v>
      </c>
      <c r="T288" t="s">
        <v>455</v>
      </c>
      <c r="U288" t="s">
        <v>455</v>
      </c>
      <c r="V288" t="s">
        <v>455</v>
      </c>
      <c r="W288" t="s">
        <v>455</v>
      </c>
      <c r="X288" t="s">
        <v>455</v>
      </c>
      <c r="Y288" t="s">
        <v>455</v>
      </c>
      <c r="Z288" t="s">
        <v>455</v>
      </c>
      <c r="AA288" t="s">
        <v>455</v>
      </c>
      <c r="AB288" t="s">
        <v>455</v>
      </c>
      <c r="AC288" t="s">
        <v>455</v>
      </c>
      <c r="AD288" t="s">
        <v>455</v>
      </c>
      <c r="AE288" t="s">
        <v>455</v>
      </c>
      <c r="AF288" t="s">
        <v>455</v>
      </c>
      <c r="AG288" t="s">
        <v>455</v>
      </c>
      <c r="AH288" t="s">
        <v>455</v>
      </c>
      <c r="AI288" t="s">
        <v>455</v>
      </c>
      <c r="AJ288" t="s">
        <v>455</v>
      </c>
      <c r="AK288" t="s">
        <v>455</v>
      </c>
      <c r="AL288" t="s">
        <v>455</v>
      </c>
    </row>
    <row r="289" spans="1:38" x14ac:dyDescent="0.35">
      <c r="A289" s="1">
        <v>288</v>
      </c>
      <c r="B289" t="s">
        <v>1151</v>
      </c>
      <c r="C289" t="s">
        <v>1032</v>
      </c>
      <c r="D289">
        <v>2021</v>
      </c>
      <c r="E289" t="s">
        <v>920</v>
      </c>
      <c r="F289" t="s">
        <v>186</v>
      </c>
      <c r="H289">
        <v>232</v>
      </c>
      <c r="J289" t="s">
        <v>1249</v>
      </c>
      <c r="K289" t="s">
        <v>1524</v>
      </c>
      <c r="L289" t="s">
        <v>567</v>
      </c>
      <c r="M289" t="s">
        <v>610</v>
      </c>
      <c r="N289" t="s">
        <v>455</v>
      </c>
      <c r="O289" t="s">
        <v>455</v>
      </c>
      <c r="P289" t="s">
        <v>455</v>
      </c>
      <c r="Q289" t="s">
        <v>455</v>
      </c>
      <c r="R289" t="s">
        <v>455</v>
      </c>
      <c r="S289" t="s">
        <v>455</v>
      </c>
      <c r="T289" t="s">
        <v>455</v>
      </c>
      <c r="U289" t="s">
        <v>455</v>
      </c>
      <c r="V289" t="s">
        <v>455</v>
      </c>
      <c r="W289" t="s">
        <v>455</v>
      </c>
      <c r="X289" t="s">
        <v>455</v>
      </c>
      <c r="Y289" t="s">
        <v>455</v>
      </c>
      <c r="Z289" t="s">
        <v>455</v>
      </c>
      <c r="AA289" t="s">
        <v>455</v>
      </c>
      <c r="AB289" t="s">
        <v>455</v>
      </c>
      <c r="AC289" t="s">
        <v>455</v>
      </c>
      <c r="AD289" t="s">
        <v>455</v>
      </c>
      <c r="AE289" t="s">
        <v>455</v>
      </c>
      <c r="AF289" t="s">
        <v>455</v>
      </c>
      <c r="AG289" t="s">
        <v>455</v>
      </c>
      <c r="AH289" t="s">
        <v>455</v>
      </c>
      <c r="AI289" t="s">
        <v>455</v>
      </c>
      <c r="AJ289" t="s">
        <v>455</v>
      </c>
      <c r="AK289" t="s">
        <v>455</v>
      </c>
      <c r="AL289" t="s">
        <v>455</v>
      </c>
    </row>
    <row r="290" spans="1:38" x14ac:dyDescent="0.35">
      <c r="A290" s="1">
        <v>289</v>
      </c>
      <c r="B290" t="s">
        <v>1152</v>
      </c>
      <c r="C290" t="s">
        <v>1033</v>
      </c>
      <c r="D290">
        <v>2021</v>
      </c>
      <c r="E290" t="s">
        <v>920</v>
      </c>
      <c r="F290" t="s">
        <v>186</v>
      </c>
      <c r="H290">
        <v>241</v>
      </c>
      <c r="J290" t="s">
        <v>1250</v>
      </c>
      <c r="K290" t="s">
        <v>1782</v>
      </c>
      <c r="L290" t="s">
        <v>1783</v>
      </c>
      <c r="M290" t="s">
        <v>455</v>
      </c>
      <c r="N290" t="s">
        <v>455</v>
      </c>
      <c r="O290" t="s">
        <v>455</v>
      </c>
      <c r="P290" t="s">
        <v>455</v>
      </c>
      <c r="Q290" t="s">
        <v>455</v>
      </c>
      <c r="R290" t="s">
        <v>455</v>
      </c>
      <c r="S290" t="s">
        <v>455</v>
      </c>
      <c r="T290" t="s">
        <v>455</v>
      </c>
      <c r="U290" t="s">
        <v>455</v>
      </c>
      <c r="V290" t="s">
        <v>455</v>
      </c>
      <c r="W290" t="s">
        <v>455</v>
      </c>
      <c r="X290" t="s">
        <v>455</v>
      </c>
      <c r="Y290" t="s">
        <v>455</v>
      </c>
      <c r="Z290" t="s">
        <v>455</v>
      </c>
      <c r="AA290" t="s">
        <v>455</v>
      </c>
      <c r="AB290" t="s">
        <v>455</v>
      </c>
      <c r="AC290" t="s">
        <v>455</v>
      </c>
      <c r="AD290" t="s">
        <v>455</v>
      </c>
      <c r="AE290" t="s">
        <v>455</v>
      </c>
      <c r="AF290" t="s">
        <v>455</v>
      </c>
      <c r="AG290" t="s">
        <v>455</v>
      </c>
      <c r="AH290" t="s">
        <v>455</v>
      </c>
      <c r="AI290" t="s">
        <v>455</v>
      </c>
      <c r="AJ290" t="s">
        <v>455</v>
      </c>
      <c r="AK290" t="s">
        <v>455</v>
      </c>
      <c r="AL290" t="s">
        <v>455</v>
      </c>
    </row>
    <row r="291" spans="1:38" x14ac:dyDescent="0.35">
      <c r="A291" s="1">
        <v>290</v>
      </c>
      <c r="B291" t="s">
        <v>1153</v>
      </c>
      <c r="C291" t="s">
        <v>1034</v>
      </c>
      <c r="D291">
        <v>2021</v>
      </c>
      <c r="E291" t="s">
        <v>920</v>
      </c>
      <c r="F291" t="s">
        <v>186</v>
      </c>
      <c r="H291">
        <v>248</v>
      </c>
      <c r="J291" t="s">
        <v>395</v>
      </c>
      <c r="K291" t="s">
        <v>1784</v>
      </c>
      <c r="L291" t="s">
        <v>1636</v>
      </c>
      <c r="M291" t="s">
        <v>1785</v>
      </c>
      <c r="N291" t="s">
        <v>455</v>
      </c>
      <c r="O291" t="s">
        <v>455</v>
      </c>
      <c r="P291" t="s">
        <v>455</v>
      </c>
      <c r="Q291" t="s">
        <v>455</v>
      </c>
      <c r="R291" t="s">
        <v>455</v>
      </c>
      <c r="S291" t="s">
        <v>455</v>
      </c>
      <c r="T291" t="s">
        <v>455</v>
      </c>
      <c r="U291" t="s">
        <v>455</v>
      </c>
      <c r="V291" t="s">
        <v>455</v>
      </c>
      <c r="W291" t="s">
        <v>455</v>
      </c>
      <c r="X291" t="s">
        <v>455</v>
      </c>
      <c r="Y291" t="s">
        <v>455</v>
      </c>
      <c r="Z291" t="s">
        <v>455</v>
      </c>
      <c r="AA291" t="s">
        <v>455</v>
      </c>
      <c r="AB291" t="s">
        <v>455</v>
      </c>
      <c r="AC291" t="s">
        <v>455</v>
      </c>
      <c r="AD291" t="s">
        <v>455</v>
      </c>
      <c r="AE291" t="s">
        <v>455</v>
      </c>
      <c r="AF291" t="s">
        <v>455</v>
      </c>
      <c r="AG291" t="s">
        <v>455</v>
      </c>
      <c r="AH291" t="s">
        <v>455</v>
      </c>
      <c r="AI291" t="s">
        <v>455</v>
      </c>
      <c r="AJ291" t="s">
        <v>455</v>
      </c>
      <c r="AK291" t="s">
        <v>455</v>
      </c>
      <c r="AL291" t="s">
        <v>455</v>
      </c>
    </row>
    <row r="292" spans="1:38" x14ac:dyDescent="0.35">
      <c r="A292" s="1">
        <v>291</v>
      </c>
      <c r="B292" t="s">
        <v>1154</v>
      </c>
      <c r="C292" t="s">
        <v>1035</v>
      </c>
      <c r="D292">
        <v>2021</v>
      </c>
      <c r="E292" t="s">
        <v>920</v>
      </c>
      <c r="F292" t="s">
        <v>186</v>
      </c>
      <c r="H292">
        <v>256</v>
      </c>
      <c r="J292" t="s">
        <v>1251</v>
      </c>
      <c r="K292" t="s">
        <v>1786</v>
      </c>
      <c r="L292" t="s">
        <v>1787</v>
      </c>
      <c r="M292" t="s">
        <v>455</v>
      </c>
      <c r="N292" t="s">
        <v>455</v>
      </c>
      <c r="O292" t="s">
        <v>455</v>
      </c>
      <c r="P292" t="s">
        <v>455</v>
      </c>
      <c r="Q292" t="s">
        <v>455</v>
      </c>
      <c r="R292" t="s">
        <v>455</v>
      </c>
      <c r="S292" t="s">
        <v>455</v>
      </c>
      <c r="T292" t="s">
        <v>455</v>
      </c>
      <c r="U292" t="s">
        <v>455</v>
      </c>
      <c r="V292" t="s">
        <v>455</v>
      </c>
      <c r="W292" t="s">
        <v>455</v>
      </c>
      <c r="X292" t="s">
        <v>455</v>
      </c>
      <c r="Y292" t="s">
        <v>455</v>
      </c>
      <c r="Z292" t="s">
        <v>455</v>
      </c>
      <c r="AA292" t="s">
        <v>455</v>
      </c>
      <c r="AB292" t="s">
        <v>455</v>
      </c>
      <c r="AC292" t="s">
        <v>455</v>
      </c>
      <c r="AD292" t="s">
        <v>455</v>
      </c>
      <c r="AE292" t="s">
        <v>455</v>
      </c>
      <c r="AF292" t="s">
        <v>455</v>
      </c>
      <c r="AG292" t="s">
        <v>455</v>
      </c>
      <c r="AH292" t="s">
        <v>455</v>
      </c>
      <c r="AI292" t="s">
        <v>455</v>
      </c>
      <c r="AJ292" t="s">
        <v>455</v>
      </c>
      <c r="AK292" t="s">
        <v>455</v>
      </c>
      <c r="AL292" t="s">
        <v>455</v>
      </c>
    </row>
    <row r="293" spans="1:38" x14ac:dyDescent="0.35">
      <c r="A293" s="1">
        <v>292</v>
      </c>
      <c r="B293" t="s">
        <v>1155</v>
      </c>
      <c r="C293" t="s">
        <v>1036</v>
      </c>
      <c r="D293">
        <v>2021</v>
      </c>
      <c r="E293" t="s">
        <v>920</v>
      </c>
      <c r="F293" t="s">
        <v>186</v>
      </c>
      <c r="H293">
        <v>259</v>
      </c>
      <c r="J293" t="s">
        <v>1252</v>
      </c>
      <c r="K293" t="s">
        <v>345</v>
      </c>
      <c r="L293" t="s">
        <v>455</v>
      </c>
      <c r="M293" t="s">
        <v>455</v>
      </c>
      <c r="N293" t="s">
        <v>455</v>
      </c>
      <c r="O293" t="s">
        <v>455</v>
      </c>
      <c r="P293" t="s">
        <v>455</v>
      </c>
      <c r="Q293" t="s">
        <v>455</v>
      </c>
      <c r="R293" t="s">
        <v>455</v>
      </c>
      <c r="S293" t="s">
        <v>455</v>
      </c>
      <c r="T293" t="s">
        <v>455</v>
      </c>
      <c r="U293" t="s">
        <v>455</v>
      </c>
      <c r="V293" t="s">
        <v>455</v>
      </c>
      <c r="W293" t="s">
        <v>455</v>
      </c>
      <c r="X293" t="s">
        <v>455</v>
      </c>
      <c r="Y293" t="s">
        <v>455</v>
      </c>
      <c r="Z293" t="s">
        <v>455</v>
      </c>
      <c r="AA293" t="s">
        <v>455</v>
      </c>
      <c r="AB293" t="s">
        <v>455</v>
      </c>
      <c r="AC293" t="s">
        <v>455</v>
      </c>
      <c r="AD293" t="s">
        <v>455</v>
      </c>
      <c r="AE293" t="s">
        <v>455</v>
      </c>
      <c r="AF293" t="s">
        <v>455</v>
      </c>
      <c r="AG293" t="s">
        <v>455</v>
      </c>
      <c r="AH293" t="s">
        <v>455</v>
      </c>
      <c r="AI293" t="s">
        <v>455</v>
      </c>
      <c r="AJ293" t="s">
        <v>455</v>
      </c>
      <c r="AK293" t="s">
        <v>455</v>
      </c>
      <c r="AL293" t="s">
        <v>455</v>
      </c>
    </row>
    <row r="294" spans="1:38" x14ac:dyDescent="0.35">
      <c r="A294" s="1">
        <v>293</v>
      </c>
      <c r="B294" t="s">
        <v>1156</v>
      </c>
      <c r="C294" t="s">
        <v>1037</v>
      </c>
      <c r="D294">
        <v>2021</v>
      </c>
      <c r="E294" t="s">
        <v>920</v>
      </c>
      <c r="F294" t="s">
        <v>186</v>
      </c>
      <c r="H294">
        <v>268</v>
      </c>
      <c r="J294" t="s">
        <v>1253</v>
      </c>
      <c r="K294" t="s">
        <v>1788</v>
      </c>
      <c r="L294" t="s">
        <v>1612</v>
      </c>
      <c r="M294" t="s">
        <v>455</v>
      </c>
      <c r="N294" t="s">
        <v>455</v>
      </c>
      <c r="O294" t="s">
        <v>455</v>
      </c>
      <c r="P294" t="s">
        <v>455</v>
      </c>
      <c r="Q294" t="s">
        <v>455</v>
      </c>
      <c r="R294" t="s">
        <v>455</v>
      </c>
      <c r="S294" t="s">
        <v>455</v>
      </c>
      <c r="T294" t="s">
        <v>455</v>
      </c>
      <c r="U294" t="s">
        <v>455</v>
      </c>
      <c r="V294" t="s">
        <v>455</v>
      </c>
      <c r="W294" t="s">
        <v>455</v>
      </c>
      <c r="X294" t="s">
        <v>455</v>
      </c>
      <c r="Y294" t="s">
        <v>455</v>
      </c>
      <c r="Z294" t="s">
        <v>455</v>
      </c>
      <c r="AA294" t="s">
        <v>455</v>
      </c>
      <c r="AB294" t="s">
        <v>455</v>
      </c>
      <c r="AC294" t="s">
        <v>455</v>
      </c>
      <c r="AD294" t="s">
        <v>455</v>
      </c>
      <c r="AE294" t="s">
        <v>455</v>
      </c>
      <c r="AF294" t="s">
        <v>455</v>
      </c>
      <c r="AG294" t="s">
        <v>455</v>
      </c>
      <c r="AH294" t="s">
        <v>455</v>
      </c>
      <c r="AI294" t="s">
        <v>455</v>
      </c>
      <c r="AJ294" t="s">
        <v>455</v>
      </c>
      <c r="AK294" t="s">
        <v>455</v>
      </c>
      <c r="AL294" t="s">
        <v>455</v>
      </c>
    </row>
    <row r="295" spans="1:38" x14ac:dyDescent="0.35">
      <c r="A295" s="1">
        <v>294</v>
      </c>
      <c r="B295" t="s">
        <v>1157</v>
      </c>
      <c r="C295" t="s">
        <v>1038</v>
      </c>
      <c r="D295">
        <v>2021</v>
      </c>
      <c r="E295" t="s">
        <v>920</v>
      </c>
      <c r="F295" t="s">
        <v>186</v>
      </c>
      <c r="H295">
        <v>271</v>
      </c>
      <c r="J295" t="s">
        <v>1254</v>
      </c>
      <c r="K295" t="s">
        <v>1789</v>
      </c>
      <c r="L295" t="s">
        <v>1790</v>
      </c>
      <c r="M295" t="s">
        <v>824</v>
      </c>
      <c r="N295" t="s">
        <v>871</v>
      </c>
      <c r="O295" t="s">
        <v>455</v>
      </c>
      <c r="P295" t="s">
        <v>455</v>
      </c>
      <c r="Q295" t="s">
        <v>455</v>
      </c>
      <c r="R295" t="s">
        <v>455</v>
      </c>
      <c r="S295" t="s">
        <v>455</v>
      </c>
      <c r="T295" t="s">
        <v>455</v>
      </c>
      <c r="U295" t="s">
        <v>455</v>
      </c>
      <c r="V295" t="s">
        <v>455</v>
      </c>
      <c r="W295" t="s">
        <v>455</v>
      </c>
      <c r="X295" t="s">
        <v>455</v>
      </c>
      <c r="Y295" t="s">
        <v>455</v>
      </c>
      <c r="Z295" t="s">
        <v>455</v>
      </c>
      <c r="AA295" t="s">
        <v>455</v>
      </c>
      <c r="AB295" t="s">
        <v>455</v>
      </c>
      <c r="AC295" t="s">
        <v>455</v>
      </c>
      <c r="AD295" t="s">
        <v>455</v>
      </c>
      <c r="AE295" t="s">
        <v>455</v>
      </c>
      <c r="AF295" t="s">
        <v>455</v>
      </c>
      <c r="AG295" t="s">
        <v>455</v>
      </c>
      <c r="AH295" t="s">
        <v>455</v>
      </c>
      <c r="AI295" t="s">
        <v>455</v>
      </c>
      <c r="AJ295" t="s">
        <v>455</v>
      </c>
      <c r="AK295" t="s">
        <v>455</v>
      </c>
      <c r="AL295" t="s">
        <v>455</v>
      </c>
    </row>
    <row r="296" spans="1:38" x14ac:dyDescent="0.35">
      <c r="A296" s="1">
        <v>295</v>
      </c>
      <c r="B296" t="s">
        <v>1158</v>
      </c>
      <c r="C296" t="s">
        <v>1039</v>
      </c>
      <c r="D296">
        <v>2021</v>
      </c>
      <c r="E296" t="s">
        <v>920</v>
      </c>
      <c r="F296" t="s">
        <v>186</v>
      </c>
      <c r="H296">
        <v>274</v>
      </c>
      <c r="J296" t="s">
        <v>1039</v>
      </c>
      <c r="K296" t="s">
        <v>455</v>
      </c>
      <c r="L296" t="s">
        <v>455</v>
      </c>
      <c r="M296" t="s">
        <v>455</v>
      </c>
      <c r="N296" t="s">
        <v>455</v>
      </c>
      <c r="O296" t="s">
        <v>455</v>
      </c>
      <c r="P296" t="s">
        <v>455</v>
      </c>
      <c r="Q296" t="s">
        <v>455</v>
      </c>
      <c r="R296" t="s">
        <v>455</v>
      </c>
      <c r="S296" t="s">
        <v>455</v>
      </c>
      <c r="T296" t="s">
        <v>455</v>
      </c>
      <c r="U296" t="s">
        <v>455</v>
      </c>
      <c r="V296" t="s">
        <v>455</v>
      </c>
      <c r="W296" t="s">
        <v>455</v>
      </c>
      <c r="X296" t="s">
        <v>455</v>
      </c>
      <c r="Y296" t="s">
        <v>455</v>
      </c>
      <c r="Z296" t="s">
        <v>455</v>
      </c>
      <c r="AA296" t="s">
        <v>455</v>
      </c>
      <c r="AB296" t="s">
        <v>455</v>
      </c>
      <c r="AC296" t="s">
        <v>455</v>
      </c>
      <c r="AD296" t="s">
        <v>455</v>
      </c>
      <c r="AE296" t="s">
        <v>455</v>
      </c>
      <c r="AF296" t="s">
        <v>455</v>
      </c>
      <c r="AG296" t="s">
        <v>455</v>
      </c>
      <c r="AH296" t="s">
        <v>455</v>
      </c>
      <c r="AI296" t="s">
        <v>455</v>
      </c>
      <c r="AJ296" t="s">
        <v>455</v>
      </c>
      <c r="AK296" t="s">
        <v>455</v>
      </c>
      <c r="AL296" t="s">
        <v>455</v>
      </c>
    </row>
    <row r="297" spans="1:38" x14ac:dyDescent="0.35">
      <c r="A297" s="1">
        <v>296</v>
      </c>
      <c r="B297" t="s">
        <v>1159</v>
      </c>
      <c r="C297" t="s">
        <v>1040</v>
      </c>
      <c r="D297">
        <v>2021</v>
      </c>
      <c r="E297" t="s">
        <v>920</v>
      </c>
      <c r="F297" t="s">
        <v>186</v>
      </c>
      <c r="H297">
        <v>277</v>
      </c>
      <c r="J297" t="s">
        <v>1255</v>
      </c>
      <c r="K297" t="s">
        <v>1547</v>
      </c>
      <c r="L297" t="s">
        <v>1791</v>
      </c>
      <c r="M297" t="s">
        <v>185</v>
      </c>
      <c r="N297" t="s">
        <v>455</v>
      </c>
      <c r="O297" t="s">
        <v>455</v>
      </c>
      <c r="P297" t="s">
        <v>455</v>
      </c>
      <c r="Q297" t="s">
        <v>455</v>
      </c>
      <c r="R297" t="s">
        <v>455</v>
      </c>
      <c r="S297" t="s">
        <v>455</v>
      </c>
      <c r="T297" t="s">
        <v>455</v>
      </c>
      <c r="U297" t="s">
        <v>455</v>
      </c>
      <c r="V297" t="s">
        <v>455</v>
      </c>
      <c r="W297" t="s">
        <v>455</v>
      </c>
      <c r="X297" t="s">
        <v>455</v>
      </c>
      <c r="Y297" t="s">
        <v>455</v>
      </c>
      <c r="Z297" t="s">
        <v>455</v>
      </c>
      <c r="AA297" t="s">
        <v>455</v>
      </c>
      <c r="AB297" t="s">
        <v>455</v>
      </c>
      <c r="AC297" t="s">
        <v>455</v>
      </c>
      <c r="AD297" t="s">
        <v>455</v>
      </c>
      <c r="AE297" t="s">
        <v>455</v>
      </c>
      <c r="AF297" t="s">
        <v>455</v>
      </c>
      <c r="AG297" t="s">
        <v>455</v>
      </c>
      <c r="AH297" t="s">
        <v>455</v>
      </c>
      <c r="AI297" t="s">
        <v>455</v>
      </c>
      <c r="AJ297" t="s">
        <v>455</v>
      </c>
      <c r="AK297" t="s">
        <v>455</v>
      </c>
      <c r="AL297" t="s">
        <v>455</v>
      </c>
    </row>
    <row r="298" spans="1:38" x14ac:dyDescent="0.35">
      <c r="A298" s="1">
        <v>297</v>
      </c>
      <c r="B298" t="s">
        <v>1160</v>
      </c>
      <c r="C298" t="s">
        <v>1041</v>
      </c>
      <c r="D298">
        <v>2021</v>
      </c>
      <c r="E298" t="s">
        <v>920</v>
      </c>
      <c r="F298" t="s">
        <v>186</v>
      </c>
      <c r="H298">
        <v>280</v>
      </c>
      <c r="J298" t="s">
        <v>557</v>
      </c>
      <c r="K298" t="s">
        <v>1792</v>
      </c>
      <c r="L298" t="s">
        <v>556</v>
      </c>
      <c r="M298" t="s">
        <v>455</v>
      </c>
      <c r="N298" t="s">
        <v>455</v>
      </c>
      <c r="O298" t="s">
        <v>455</v>
      </c>
      <c r="P298" t="s">
        <v>455</v>
      </c>
      <c r="Q298" t="s">
        <v>455</v>
      </c>
      <c r="R298" t="s">
        <v>455</v>
      </c>
      <c r="S298" t="s">
        <v>455</v>
      </c>
      <c r="T298" t="s">
        <v>455</v>
      </c>
      <c r="U298" t="s">
        <v>455</v>
      </c>
      <c r="V298" t="s">
        <v>455</v>
      </c>
      <c r="W298" t="s">
        <v>455</v>
      </c>
      <c r="X298" t="s">
        <v>455</v>
      </c>
      <c r="Y298" t="s">
        <v>455</v>
      </c>
      <c r="Z298" t="s">
        <v>455</v>
      </c>
      <c r="AA298" t="s">
        <v>455</v>
      </c>
      <c r="AB298" t="s">
        <v>455</v>
      </c>
      <c r="AC298" t="s">
        <v>455</v>
      </c>
      <c r="AD298" t="s">
        <v>455</v>
      </c>
      <c r="AE298" t="s">
        <v>455</v>
      </c>
      <c r="AF298" t="s">
        <v>455</v>
      </c>
      <c r="AG298" t="s">
        <v>455</v>
      </c>
      <c r="AH298" t="s">
        <v>455</v>
      </c>
      <c r="AI298" t="s">
        <v>455</v>
      </c>
      <c r="AJ298" t="s">
        <v>455</v>
      </c>
      <c r="AK298" t="s">
        <v>455</v>
      </c>
      <c r="AL298" t="s">
        <v>455</v>
      </c>
    </row>
    <row r="299" spans="1:38" x14ac:dyDescent="0.35">
      <c r="A299" s="1">
        <v>298</v>
      </c>
      <c r="B299" t="s">
        <v>1161</v>
      </c>
      <c r="C299" t="s">
        <v>1042</v>
      </c>
      <c r="D299">
        <v>2021</v>
      </c>
      <c r="E299" t="s">
        <v>920</v>
      </c>
      <c r="F299" t="s">
        <v>186</v>
      </c>
      <c r="H299">
        <v>283</v>
      </c>
      <c r="J299" t="s">
        <v>557</v>
      </c>
      <c r="K299" t="s">
        <v>554</v>
      </c>
      <c r="L299" t="s">
        <v>376</v>
      </c>
      <c r="M299" t="s">
        <v>556</v>
      </c>
      <c r="N299" t="s">
        <v>455</v>
      </c>
      <c r="O299" t="s">
        <v>455</v>
      </c>
      <c r="P299" t="s">
        <v>455</v>
      </c>
      <c r="Q299" t="s">
        <v>455</v>
      </c>
      <c r="R299" t="s">
        <v>455</v>
      </c>
      <c r="S299" t="s">
        <v>455</v>
      </c>
      <c r="T299" t="s">
        <v>455</v>
      </c>
      <c r="U299" t="s">
        <v>455</v>
      </c>
      <c r="V299" t="s">
        <v>455</v>
      </c>
      <c r="W299" t="s">
        <v>455</v>
      </c>
      <c r="X299" t="s">
        <v>455</v>
      </c>
      <c r="Y299" t="s">
        <v>455</v>
      </c>
      <c r="Z299" t="s">
        <v>455</v>
      </c>
      <c r="AA299" t="s">
        <v>455</v>
      </c>
      <c r="AB299" t="s">
        <v>455</v>
      </c>
      <c r="AC299" t="s">
        <v>455</v>
      </c>
      <c r="AD299" t="s">
        <v>455</v>
      </c>
      <c r="AE299" t="s">
        <v>455</v>
      </c>
      <c r="AF299" t="s">
        <v>455</v>
      </c>
      <c r="AG299" t="s">
        <v>455</v>
      </c>
      <c r="AH299" t="s">
        <v>455</v>
      </c>
      <c r="AI299" t="s">
        <v>455</v>
      </c>
      <c r="AJ299" t="s">
        <v>455</v>
      </c>
      <c r="AK299" t="s">
        <v>455</v>
      </c>
      <c r="AL299" t="s">
        <v>455</v>
      </c>
    </row>
    <row r="300" spans="1:38" x14ac:dyDescent="0.35">
      <c r="A300" s="1">
        <v>299</v>
      </c>
      <c r="B300" t="s">
        <v>1162</v>
      </c>
      <c r="C300" t="s">
        <v>1043</v>
      </c>
      <c r="D300">
        <v>2021</v>
      </c>
      <c r="E300" t="s">
        <v>920</v>
      </c>
      <c r="F300" t="s">
        <v>186</v>
      </c>
      <c r="H300">
        <v>292</v>
      </c>
      <c r="J300" t="s">
        <v>1043</v>
      </c>
      <c r="K300" t="s">
        <v>455</v>
      </c>
      <c r="L300" t="s">
        <v>455</v>
      </c>
      <c r="M300" t="s">
        <v>455</v>
      </c>
      <c r="N300" t="s">
        <v>455</v>
      </c>
      <c r="O300" t="s">
        <v>455</v>
      </c>
      <c r="P300" t="s">
        <v>455</v>
      </c>
      <c r="Q300" t="s">
        <v>455</v>
      </c>
      <c r="R300" t="s">
        <v>455</v>
      </c>
      <c r="S300" t="s">
        <v>455</v>
      </c>
      <c r="T300" t="s">
        <v>455</v>
      </c>
      <c r="U300" t="s">
        <v>455</v>
      </c>
      <c r="V300" t="s">
        <v>455</v>
      </c>
      <c r="W300" t="s">
        <v>455</v>
      </c>
      <c r="X300" t="s">
        <v>455</v>
      </c>
      <c r="Y300" t="s">
        <v>455</v>
      </c>
      <c r="Z300" t="s">
        <v>455</v>
      </c>
      <c r="AA300" t="s">
        <v>455</v>
      </c>
      <c r="AB300" t="s">
        <v>455</v>
      </c>
      <c r="AC300" t="s">
        <v>455</v>
      </c>
      <c r="AD300" t="s">
        <v>455</v>
      </c>
      <c r="AE300" t="s">
        <v>455</v>
      </c>
      <c r="AF300" t="s">
        <v>455</v>
      </c>
      <c r="AG300" t="s">
        <v>455</v>
      </c>
      <c r="AH300" t="s">
        <v>455</v>
      </c>
      <c r="AI300" t="s">
        <v>455</v>
      </c>
      <c r="AJ300" t="s">
        <v>455</v>
      </c>
      <c r="AK300" t="s">
        <v>455</v>
      </c>
      <c r="AL300" t="s">
        <v>455</v>
      </c>
    </row>
    <row r="301" spans="1:38" x14ac:dyDescent="0.35">
      <c r="A301" s="1">
        <v>300</v>
      </c>
      <c r="B301" t="s">
        <v>1163</v>
      </c>
      <c r="C301" t="s">
        <v>1044</v>
      </c>
      <c r="D301">
        <v>2021</v>
      </c>
      <c r="E301" t="s">
        <v>920</v>
      </c>
      <c r="F301" t="s">
        <v>186</v>
      </c>
      <c r="H301">
        <v>301</v>
      </c>
      <c r="J301" t="s">
        <v>1256</v>
      </c>
      <c r="K301" t="s">
        <v>1793</v>
      </c>
      <c r="L301" t="s">
        <v>1794</v>
      </c>
      <c r="M301" t="s">
        <v>455</v>
      </c>
      <c r="N301" t="s">
        <v>455</v>
      </c>
      <c r="O301" t="s">
        <v>455</v>
      </c>
      <c r="P301" t="s">
        <v>455</v>
      </c>
      <c r="Q301" t="s">
        <v>455</v>
      </c>
      <c r="R301" t="s">
        <v>455</v>
      </c>
      <c r="S301" t="s">
        <v>455</v>
      </c>
      <c r="T301" t="s">
        <v>455</v>
      </c>
      <c r="U301" t="s">
        <v>455</v>
      </c>
      <c r="V301" t="s">
        <v>455</v>
      </c>
      <c r="W301" t="s">
        <v>455</v>
      </c>
      <c r="X301" t="s">
        <v>455</v>
      </c>
      <c r="Y301" t="s">
        <v>455</v>
      </c>
      <c r="Z301" t="s">
        <v>455</v>
      </c>
      <c r="AA301" t="s">
        <v>455</v>
      </c>
      <c r="AB301" t="s">
        <v>455</v>
      </c>
      <c r="AC301" t="s">
        <v>455</v>
      </c>
      <c r="AD301" t="s">
        <v>455</v>
      </c>
      <c r="AE301" t="s">
        <v>455</v>
      </c>
      <c r="AF301" t="s">
        <v>455</v>
      </c>
      <c r="AG301" t="s">
        <v>455</v>
      </c>
      <c r="AH301" t="s">
        <v>455</v>
      </c>
      <c r="AI301" t="s">
        <v>455</v>
      </c>
      <c r="AJ301" t="s">
        <v>455</v>
      </c>
      <c r="AK301" t="s">
        <v>455</v>
      </c>
      <c r="AL301" t="s">
        <v>455</v>
      </c>
    </row>
    <row r="302" spans="1:38" x14ac:dyDescent="0.35">
      <c r="A302" s="1">
        <v>301</v>
      </c>
      <c r="B302" t="s">
        <v>1164</v>
      </c>
      <c r="C302" t="s">
        <v>1045</v>
      </c>
      <c r="D302">
        <v>2021</v>
      </c>
      <c r="E302" t="s">
        <v>920</v>
      </c>
      <c r="F302" t="s">
        <v>186</v>
      </c>
      <c r="H302">
        <v>309</v>
      </c>
      <c r="J302" t="s">
        <v>1257</v>
      </c>
      <c r="K302" t="s">
        <v>1795</v>
      </c>
      <c r="L302" t="s">
        <v>1796</v>
      </c>
      <c r="M302" t="s">
        <v>455</v>
      </c>
      <c r="N302" t="s">
        <v>455</v>
      </c>
      <c r="O302" t="s">
        <v>455</v>
      </c>
      <c r="P302" t="s">
        <v>455</v>
      </c>
      <c r="Q302" t="s">
        <v>455</v>
      </c>
      <c r="R302" t="s">
        <v>455</v>
      </c>
      <c r="S302" t="s">
        <v>455</v>
      </c>
      <c r="T302" t="s">
        <v>455</v>
      </c>
      <c r="U302" t="s">
        <v>455</v>
      </c>
      <c r="V302" t="s">
        <v>455</v>
      </c>
      <c r="W302" t="s">
        <v>455</v>
      </c>
      <c r="X302" t="s">
        <v>455</v>
      </c>
      <c r="Y302" t="s">
        <v>455</v>
      </c>
      <c r="Z302" t="s">
        <v>455</v>
      </c>
      <c r="AA302" t="s">
        <v>455</v>
      </c>
      <c r="AB302" t="s">
        <v>455</v>
      </c>
      <c r="AC302" t="s">
        <v>455</v>
      </c>
      <c r="AD302" t="s">
        <v>455</v>
      </c>
      <c r="AE302" t="s">
        <v>455</v>
      </c>
      <c r="AF302" t="s">
        <v>455</v>
      </c>
      <c r="AG302" t="s">
        <v>455</v>
      </c>
      <c r="AH302" t="s">
        <v>455</v>
      </c>
      <c r="AI302" t="s">
        <v>455</v>
      </c>
      <c r="AJ302" t="s">
        <v>455</v>
      </c>
      <c r="AK302" t="s">
        <v>455</v>
      </c>
      <c r="AL302" t="s">
        <v>455</v>
      </c>
    </row>
    <row r="303" spans="1:38" x14ac:dyDescent="0.35">
      <c r="A303" s="1">
        <v>302</v>
      </c>
      <c r="B303" t="s">
        <v>1165</v>
      </c>
      <c r="C303" t="s">
        <v>1046</v>
      </c>
      <c r="D303">
        <v>2021</v>
      </c>
      <c r="E303" t="s">
        <v>920</v>
      </c>
      <c r="F303" t="s">
        <v>186</v>
      </c>
      <c r="H303">
        <v>317</v>
      </c>
      <c r="J303" t="s">
        <v>1258</v>
      </c>
      <c r="K303" t="s">
        <v>1797</v>
      </c>
      <c r="L303" t="s">
        <v>455</v>
      </c>
      <c r="M303" t="s">
        <v>455</v>
      </c>
      <c r="N303" t="s">
        <v>455</v>
      </c>
      <c r="O303" t="s">
        <v>455</v>
      </c>
      <c r="P303" t="s">
        <v>455</v>
      </c>
      <c r="Q303" t="s">
        <v>455</v>
      </c>
      <c r="R303" t="s">
        <v>455</v>
      </c>
      <c r="S303" t="s">
        <v>455</v>
      </c>
      <c r="T303" t="s">
        <v>455</v>
      </c>
      <c r="U303" t="s">
        <v>455</v>
      </c>
      <c r="V303" t="s">
        <v>455</v>
      </c>
      <c r="W303" t="s">
        <v>455</v>
      </c>
      <c r="X303" t="s">
        <v>455</v>
      </c>
      <c r="Y303" t="s">
        <v>455</v>
      </c>
      <c r="Z303" t="s">
        <v>455</v>
      </c>
      <c r="AA303" t="s">
        <v>455</v>
      </c>
      <c r="AB303" t="s">
        <v>455</v>
      </c>
      <c r="AC303" t="s">
        <v>455</v>
      </c>
      <c r="AD303" t="s">
        <v>455</v>
      </c>
      <c r="AE303" t="s">
        <v>455</v>
      </c>
      <c r="AF303" t="s">
        <v>455</v>
      </c>
      <c r="AG303" t="s">
        <v>455</v>
      </c>
      <c r="AH303" t="s">
        <v>455</v>
      </c>
      <c r="AI303" t="s">
        <v>455</v>
      </c>
      <c r="AJ303" t="s">
        <v>455</v>
      </c>
      <c r="AK303" t="s">
        <v>455</v>
      </c>
      <c r="AL303" t="s">
        <v>455</v>
      </c>
    </row>
    <row r="304" spans="1:38" x14ac:dyDescent="0.35">
      <c r="A304" s="1">
        <v>303</v>
      </c>
      <c r="B304" t="s">
        <v>1166</v>
      </c>
      <c r="C304" t="s">
        <v>1047</v>
      </c>
      <c r="D304">
        <v>2021</v>
      </c>
      <c r="E304" t="s">
        <v>920</v>
      </c>
      <c r="F304" t="s">
        <v>186</v>
      </c>
      <c r="H304">
        <v>326</v>
      </c>
      <c r="J304" t="s">
        <v>1259</v>
      </c>
      <c r="K304" t="s">
        <v>569</v>
      </c>
      <c r="L304" t="s">
        <v>455</v>
      </c>
      <c r="M304" t="s">
        <v>455</v>
      </c>
      <c r="N304" t="s">
        <v>455</v>
      </c>
      <c r="O304" t="s">
        <v>455</v>
      </c>
      <c r="P304" t="s">
        <v>455</v>
      </c>
      <c r="Q304" t="s">
        <v>455</v>
      </c>
      <c r="R304" t="s">
        <v>455</v>
      </c>
      <c r="S304" t="s">
        <v>455</v>
      </c>
      <c r="T304" t="s">
        <v>455</v>
      </c>
      <c r="U304" t="s">
        <v>455</v>
      </c>
      <c r="V304" t="s">
        <v>455</v>
      </c>
      <c r="W304" t="s">
        <v>455</v>
      </c>
      <c r="X304" t="s">
        <v>455</v>
      </c>
      <c r="Y304" t="s">
        <v>455</v>
      </c>
      <c r="Z304" t="s">
        <v>455</v>
      </c>
      <c r="AA304" t="s">
        <v>455</v>
      </c>
      <c r="AB304" t="s">
        <v>455</v>
      </c>
      <c r="AC304" t="s">
        <v>455</v>
      </c>
      <c r="AD304" t="s">
        <v>455</v>
      </c>
      <c r="AE304" t="s">
        <v>455</v>
      </c>
      <c r="AF304" t="s">
        <v>455</v>
      </c>
      <c r="AG304" t="s">
        <v>455</v>
      </c>
      <c r="AH304" t="s">
        <v>455</v>
      </c>
      <c r="AI304" t="s">
        <v>455</v>
      </c>
      <c r="AJ304" t="s">
        <v>455</v>
      </c>
      <c r="AK304" t="s">
        <v>455</v>
      </c>
      <c r="AL304" t="s">
        <v>455</v>
      </c>
    </row>
    <row r="305" spans="1:38" x14ac:dyDescent="0.35">
      <c r="A305" s="1">
        <v>304</v>
      </c>
      <c r="B305" t="s">
        <v>1167</v>
      </c>
      <c r="C305" t="s">
        <v>1048</v>
      </c>
      <c r="D305">
        <v>2021</v>
      </c>
      <c r="E305" t="s">
        <v>920</v>
      </c>
      <c r="F305" t="s">
        <v>186</v>
      </c>
      <c r="H305">
        <v>336</v>
      </c>
      <c r="J305" t="s">
        <v>1260</v>
      </c>
      <c r="K305" t="s">
        <v>1798</v>
      </c>
      <c r="L305" t="s">
        <v>455</v>
      </c>
      <c r="M305" t="s">
        <v>455</v>
      </c>
      <c r="N305" t="s">
        <v>455</v>
      </c>
      <c r="O305" t="s">
        <v>455</v>
      </c>
      <c r="P305" t="s">
        <v>455</v>
      </c>
      <c r="Q305" t="s">
        <v>455</v>
      </c>
      <c r="R305" t="s">
        <v>455</v>
      </c>
      <c r="S305" t="s">
        <v>455</v>
      </c>
      <c r="T305" t="s">
        <v>455</v>
      </c>
      <c r="U305" t="s">
        <v>455</v>
      </c>
      <c r="V305" t="s">
        <v>455</v>
      </c>
      <c r="W305" t="s">
        <v>455</v>
      </c>
      <c r="X305" t="s">
        <v>455</v>
      </c>
      <c r="Y305" t="s">
        <v>455</v>
      </c>
      <c r="Z305" t="s">
        <v>455</v>
      </c>
      <c r="AA305" t="s">
        <v>455</v>
      </c>
      <c r="AB305" t="s">
        <v>455</v>
      </c>
      <c r="AC305" t="s">
        <v>455</v>
      </c>
      <c r="AD305" t="s">
        <v>455</v>
      </c>
      <c r="AE305" t="s">
        <v>455</v>
      </c>
      <c r="AF305" t="s">
        <v>455</v>
      </c>
      <c r="AG305" t="s">
        <v>455</v>
      </c>
      <c r="AH305" t="s">
        <v>455</v>
      </c>
      <c r="AI305" t="s">
        <v>455</v>
      </c>
      <c r="AJ305" t="s">
        <v>455</v>
      </c>
      <c r="AK305" t="s">
        <v>455</v>
      </c>
      <c r="AL305" t="s">
        <v>455</v>
      </c>
    </row>
    <row r="306" spans="1:38" x14ac:dyDescent="0.35">
      <c r="A306" s="1">
        <v>305</v>
      </c>
      <c r="B306" t="s">
        <v>1168</v>
      </c>
      <c r="C306" t="s">
        <v>1049</v>
      </c>
      <c r="D306">
        <v>2021</v>
      </c>
      <c r="E306" t="s">
        <v>920</v>
      </c>
      <c r="F306" t="s">
        <v>186</v>
      </c>
      <c r="H306">
        <v>346</v>
      </c>
      <c r="J306" t="s">
        <v>178</v>
      </c>
      <c r="K306" t="s">
        <v>824</v>
      </c>
      <c r="L306" t="s">
        <v>825</v>
      </c>
      <c r="M306" t="s">
        <v>871</v>
      </c>
      <c r="N306" t="s">
        <v>455</v>
      </c>
      <c r="O306" t="s">
        <v>455</v>
      </c>
      <c r="P306" t="s">
        <v>455</v>
      </c>
      <c r="Q306" t="s">
        <v>455</v>
      </c>
      <c r="R306" t="s">
        <v>455</v>
      </c>
      <c r="S306" t="s">
        <v>455</v>
      </c>
      <c r="T306" t="s">
        <v>455</v>
      </c>
      <c r="U306" t="s">
        <v>455</v>
      </c>
      <c r="V306" t="s">
        <v>455</v>
      </c>
      <c r="W306" t="s">
        <v>455</v>
      </c>
      <c r="X306" t="s">
        <v>455</v>
      </c>
      <c r="Y306" t="s">
        <v>455</v>
      </c>
      <c r="Z306" t="s">
        <v>455</v>
      </c>
      <c r="AA306" t="s">
        <v>455</v>
      </c>
      <c r="AB306" t="s">
        <v>455</v>
      </c>
      <c r="AC306" t="s">
        <v>455</v>
      </c>
      <c r="AD306" t="s">
        <v>455</v>
      </c>
      <c r="AE306" t="s">
        <v>455</v>
      </c>
      <c r="AF306" t="s">
        <v>455</v>
      </c>
      <c r="AG306" t="s">
        <v>455</v>
      </c>
      <c r="AH306" t="s">
        <v>455</v>
      </c>
      <c r="AI306" t="s">
        <v>455</v>
      </c>
      <c r="AJ306" t="s">
        <v>455</v>
      </c>
      <c r="AK306" t="s">
        <v>455</v>
      </c>
      <c r="AL306" t="s">
        <v>455</v>
      </c>
    </row>
    <row r="307" spans="1:38" x14ac:dyDescent="0.35">
      <c r="A307" s="1">
        <v>306</v>
      </c>
      <c r="B307" t="s">
        <v>1169</v>
      </c>
      <c r="C307" t="s">
        <v>1050</v>
      </c>
      <c r="D307">
        <v>2021</v>
      </c>
      <c r="E307" t="s">
        <v>920</v>
      </c>
      <c r="F307" t="s">
        <v>186</v>
      </c>
      <c r="H307">
        <v>349</v>
      </c>
      <c r="J307" t="s">
        <v>178</v>
      </c>
      <c r="K307" t="s">
        <v>1799</v>
      </c>
      <c r="L307" t="s">
        <v>1591</v>
      </c>
      <c r="M307" t="s">
        <v>455</v>
      </c>
      <c r="N307" t="s">
        <v>455</v>
      </c>
      <c r="O307" t="s">
        <v>455</v>
      </c>
      <c r="P307" t="s">
        <v>455</v>
      </c>
      <c r="Q307" t="s">
        <v>455</v>
      </c>
      <c r="R307" t="s">
        <v>455</v>
      </c>
      <c r="S307" t="s">
        <v>455</v>
      </c>
      <c r="T307" t="s">
        <v>455</v>
      </c>
      <c r="U307" t="s">
        <v>455</v>
      </c>
      <c r="V307" t="s">
        <v>455</v>
      </c>
      <c r="W307" t="s">
        <v>455</v>
      </c>
      <c r="X307" t="s">
        <v>455</v>
      </c>
      <c r="Y307" t="s">
        <v>455</v>
      </c>
      <c r="Z307" t="s">
        <v>455</v>
      </c>
      <c r="AA307" t="s">
        <v>455</v>
      </c>
      <c r="AB307" t="s">
        <v>455</v>
      </c>
      <c r="AC307" t="s">
        <v>455</v>
      </c>
      <c r="AD307" t="s">
        <v>455</v>
      </c>
      <c r="AE307" t="s">
        <v>455</v>
      </c>
      <c r="AF307" t="s">
        <v>455</v>
      </c>
      <c r="AG307" t="s">
        <v>455</v>
      </c>
      <c r="AH307" t="s">
        <v>455</v>
      </c>
      <c r="AI307" t="s">
        <v>455</v>
      </c>
      <c r="AJ307" t="s">
        <v>455</v>
      </c>
      <c r="AK307" t="s">
        <v>455</v>
      </c>
      <c r="AL307" t="s">
        <v>455</v>
      </c>
    </row>
    <row r="308" spans="1:38" x14ac:dyDescent="0.35">
      <c r="A308" s="1">
        <v>307</v>
      </c>
      <c r="B308" t="s">
        <v>1170</v>
      </c>
      <c r="C308" t="s">
        <v>1051</v>
      </c>
      <c r="D308">
        <v>2021</v>
      </c>
      <c r="E308" t="s">
        <v>920</v>
      </c>
      <c r="F308" t="s">
        <v>186</v>
      </c>
      <c r="H308">
        <v>352</v>
      </c>
      <c r="J308" t="s">
        <v>1261</v>
      </c>
      <c r="K308" t="s">
        <v>1800</v>
      </c>
      <c r="L308" t="s">
        <v>1801</v>
      </c>
      <c r="M308" t="s">
        <v>1802</v>
      </c>
      <c r="N308" t="s">
        <v>1803</v>
      </c>
      <c r="O308" t="s">
        <v>1804</v>
      </c>
      <c r="P308" t="s">
        <v>455</v>
      </c>
      <c r="Q308" t="s">
        <v>455</v>
      </c>
      <c r="R308" t="s">
        <v>455</v>
      </c>
      <c r="S308" t="s">
        <v>455</v>
      </c>
      <c r="T308" t="s">
        <v>455</v>
      </c>
      <c r="U308" t="s">
        <v>455</v>
      </c>
      <c r="V308" t="s">
        <v>455</v>
      </c>
      <c r="W308" t="s">
        <v>455</v>
      </c>
      <c r="X308" t="s">
        <v>455</v>
      </c>
      <c r="Y308" t="s">
        <v>455</v>
      </c>
      <c r="Z308" t="s">
        <v>455</v>
      </c>
      <c r="AA308" t="s">
        <v>455</v>
      </c>
      <c r="AB308" t="s">
        <v>455</v>
      </c>
      <c r="AC308" t="s">
        <v>455</v>
      </c>
      <c r="AD308" t="s">
        <v>455</v>
      </c>
      <c r="AE308" t="s">
        <v>455</v>
      </c>
      <c r="AF308" t="s">
        <v>455</v>
      </c>
      <c r="AG308" t="s">
        <v>455</v>
      </c>
      <c r="AH308" t="s">
        <v>455</v>
      </c>
      <c r="AI308" t="s">
        <v>455</v>
      </c>
      <c r="AJ308" t="s">
        <v>455</v>
      </c>
      <c r="AK308" t="s">
        <v>455</v>
      </c>
      <c r="AL308" t="s">
        <v>455</v>
      </c>
    </row>
    <row r="309" spans="1:38" x14ac:dyDescent="0.35">
      <c r="A309" s="1">
        <v>308</v>
      </c>
      <c r="B309" t="s">
        <v>1171</v>
      </c>
      <c r="C309" t="s">
        <v>1052</v>
      </c>
      <c r="D309">
        <v>2021</v>
      </c>
      <c r="E309" t="s">
        <v>920</v>
      </c>
      <c r="F309" t="s">
        <v>186</v>
      </c>
      <c r="H309">
        <v>361</v>
      </c>
      <c r="J309" t="s">
        <v>486</v>
      </c>
      <c r="K309" t="s">
        <v>846</v>
      </c>
      <c r="L309" t="s">
        <v>455</v>
      </c>
      <c r="M309" t="s">
        <v>455</v>
      </c>
      <c r="N309" t="s">
        <v>455</v>
      </c>
      <c r="O309" t="s">
        <v>455</v>
      </c>
      <c r="P309" t="s">
        <v>455</v>
      </c>
      <c r="Q309" t="s">
        <v>455</v>
      </c>
      <c r="R309" t="s">
        <v>455</v>
      </c>
      <c r="S309" t="s">
        <v>455</v>
      </c>
      <c r="T309" t="s">
        <v>455</v>
      </c>
      <c r="U309" t="s">
        <v>455</v>
      </c>
      <c r="V309" t="s">
        <v>455</v>
      </c>
      <c r="W309" t="s">
        <v>455</v>
      </c>
      <c r="X309" t="s">
        <v>455</v>
      </c>
      <c r="Y309" t="s">
        <v>455</v>
      </c>
      <c r="Z309" t="s">
        <v>455</v>
      </c>
      <c r="AA309" t="s">
        <v>455</v>
      </c>
      <c r="AB309" t="s">
        <v>455</v>
      </c>
      <c r="AC309" t="s">
        <v>455</v>
      </c>
      <c r="AD309" t="s">
        <v>455</v>
      </c>
      <c r="AE309" t="s">
        <v>455</v>
      </c>
      <c r="AF309" t="s">
        <v>455</v>
      </c>
      <c r="AG309" t="s">
        <v>455</v>
      </c>
      <c r="AH309" t="s">
        <v>455</v>
      </c>
      <c r="AI309" t="s">
        <v>455</v>
      </c>
      <c r="AJ309" t="s">
        <v>455</v>
      </c>
      <c r="AK309" t="s">
        <v>455</v>
      </c>
      <c r="AL309" t="s">
        <v>455</v>
      </c>
    </row>
    <row r="310" spans="1:38" x14ac:dyDescent="0.35">
      <c r="A310" s="1">
        <v>309</v>
      </c>
      <c r="B310" t="s">
        <v>1172</v>
      </c>
      <c r="C310" t="s">
        <v>1053</v>
      </c>
      <c r="D310">
        <v>2021</v>
      </c>
      <c r="E310" t="s">
        <v>920</v>
      </c>
      <c r="F310" t="s">
        <v>186</v>
      </c>
      <c r="H310">
        <v>369</v>
      </c>
      <c r="J310" t="s">
        <v>1262</v>
      </c>
      <c r="K310" t="s">
        <v>1805</v>
      </c>
      <c r="L310" t="s">
        <v>455</v>
      </c>
      <c r="M310" t="s">
        <v>455</v>
      </c>
      <c r="N310" t="s">
        <v>455</v>
      </c>
      <c r="O310" t="s">
        <v>455</v>
      </c>
      <c r="P310" t="s">
        <v>455</v>
      </c>
      <c r="Q310" t="s">
        <v>455</v>
      </c>
      <c r="R310" t="s">
        <v>455</v>
      </c>
      <c r="S310" t="s">
        <v>455</v>
      </c>
      <c r="T310" t="s">
        <v>455</v>
      </c>
      <c r="U310" t="s">
        <v>455</v>
      </c>
      <c r="V310" t="s">
        <v>455</v>
      </c>
      <c r="W310" t="s">
        <v>455</v>
      </c>
      <c r="X310" t="s">
        <v>455</v>
      </c>
      <c r="Y310" t="s">
        <v>455</v>
      </c>
      <c r="Z310" t="s">
        <v>455</v>
      </c>
      <c r="AA310" t="s">
        <v>455</v>
      </c>
      <c r="AB310" t="s">
        <v>455</v>
      </c>
      <c r="AC310" t="s">
        <v>455</v>
      </c>
      <c r="AD310" t="s">
        <v>455</v>
      </c>
      <c r="AE310" t="s">
        <v>455</v>
      </c>
      <c r="AF310" t="s">
        <v>455</v>
      </c>
      <c r="AG310" t="s">
        <v>455</v>
      </c>
      <c r="AH310" t="s">
        <v>455</v>
      </c>
      <c r="AI310" t="s">
        <v>455</v>
      </c>
      <c r="AJ310" t="s">
        <v>455</v>
      </c>
      <c r="AK310" t="s">
        <v>455</v>
      </c>
      <c r="AL310" t="s">
        <v>455</v>
      </c>
    </row>
    <row r="311" spans="1:38" x14ac:dyDescent="0.35">
      <c r="A311" s="1">
        <v>310</v>
      </c>
      <c r="B311" t="s">
        <v>1173</v>
      </c>
      <c r="C311" t="s">
        <v>1054</v>
      </c>
      <c r="D311">
        <v>2021</v>
      </c>
      <c r="E311" t="s">
        <v>920</v>
      </c>
      <c r="F311" t="s">
        <v>186</v>
      </c>
      <c r="H311">
        <v>371</v>
      </c>
      <c r="J311" t="s">
        <v>1263</v>
      </c>
      <c r="K311" t="s">
        <v>1806</v>
      </c>
      <c r="L311" t="s">
        <v>1807</v>
      </c>
      <c r="M311" t="s">
        <v>455</v>
      </c>
      <c r="N311" t="s">
        <v>455</v>
      </c>
      <c r="O311" t="s">
        <v>455</v>
      </c>
      <c r="P311" t="s">
        <v>455</v>
      </c>
      <c r="Q311" t="s">
        <v>455</v>
      </c>
      <c r="R311" t="s">
        <v>455</v>
      </c>
      <c r="S311" t="s">
        <v>455</v>
      </c>
      <c r="T311" t="s">
        <v>455</v>
      </c>
      <c r="U311" t="s">
        <v>455</v>
      </c>
      <c r="V311" t="s">
        <v>455</v>
      </c>
      <c r="W311" t="s">
        <v>455</v>
      </c>
      <c r="X311" t="s">
        <v>455</v>
      </c>
      <c r="Y311" t="s">
        <v>455</v>
      </c>
      <c r="Z311" t="s">
        <v>455</v>
      </c>
      <c r="AA311" t="s">
        <v>455</v>
      </c>
      <c r="AB311" t="s">
        <v>455</v>
      </c>
      <c r="AC311" t="s">
        <v>455</v>
      </c>
      <c r="AD311" t="s">
        <v>455</v>
      </c>
      <c r="AE311" t="s">
        <v>455</v>
      </c>
      <c r="AF311" t="s">
        <v>455</v>
      </c>
      <c r="AG311" t="s">
        <v>455</v>
      </c>
      <c r="AH311" t="s">
        <v>455</v>
      </c>
      <c r="AI311" t="s">
        <v>455</v>
      </c>
      <c r="AJ311" t="s">
        <v>455</v>
      </c>
      <c r="AK311" t="s">
        <v>455</v>
      </c>
      <c r="AL311" t="s">
        <v>455</v>
      </c>
    </row>
    <row r="312" spans="1:38" x14ac:dyDescent="0.35">
      <c r="A312" s="1">
        <v>311</v>
      </c>
      <c r="B312" t="s">
        <v>1174</v>
      </c>
      <c r="C312" t="s">
        <v>1055</v>
      </c>
      <c r="D312">
        <v>2021</v>
      </c>
      <c r="E312" t="s">
        <v>920</v>
      </c>
      <c r="F312" t="s">
        <v>186</v>
      </c>
      <c r="H312">
        <v>380</v>
      </c>
      <c r="J312" t="s">
        <v>1264</v>
      </c>
      <c r="K312" t="s">
        <v>341</v>
      </c>
      <c r="L312" t="s">
        <v>502</v>
      </c>
      <c r="M312" t="s">
        <v>1808</v>
      </c>
      <c r="N312" t="s">
        <v>455</v>
      </c>
      <c r="O312" t="s">
        <v>455</v>
      </c>
      <c r="P312" t="s">
        <v>455</v>
      </c>
      <c r="Q312" t="s">
        <v>455</v>
      </c>
      <c r="R312" t="s">
        <v>455</v>
      </c>
      <c r="S312" t="s">
        <v>455</v>
      </c>
      <c r="T312" t="s">
        <v>455</v>
      </c>
      <c r="U312" t="s">
        <v>455</v>
      </c>
      <c r="V312" t="s">
        <v>455</v>
      </c>
      <c r="W312" t="s">
        <v>455</v>
      </c>
      <c r="X312" t="s">
        <v>455</v>
      </c>
      <c r="Y312" t="s">
        <v>455</v>
      </c>
      <c r="Z312" t="s">
        <v>455</v>
      </c>
      <c r="AA312" t="s">
        <v>455</v>
      </c>
      <c r="AB312" t="s">
        <v>455</v>
      </c>
      <c r="AC312" t="s">
        <v>455</v>
      </c>
      <c r="AD312" t="s">
        <v>455</v>
      </c>
      <c r="AE312" t="s">
        <v>455</v>
      </c>
      <c r="AF312" t="s">
        <v>455</v>
      </c>
      <c r="AG312" t="s">
        <v>455</v>
      </c>
      <c r="AH312" t="s">
        <v>455</v>
      </c>
      <c r="AI312" t="s">
        <v>455</v>
      </c>
      <c r="AJ312" t="s">
        <v>455</v>
      </c>
      <c r="AK312" t="s">
        <v>455</v>
      </c>
      <c r="AL312" t="s">
        <v>455</v>
      </c>
    </row>
    <row r="313" spans="1:38" x14ac:dyDescent="0.35">
      <c r="A313" s="1">
        <v>312</v>
      </c>
      <c r="B313" t="s">
        <v>1175</v>
      </c>
      <c r="C313" t="s">
        <v>1056</v>
      </c>
      <c r="D313">
        <v>2021</v>
      </c>
      <c r="E313" t="s">
        <v>920</v>
      </c>
      <c r="F313" t="s">
        <v>186</v>
      </c>
      <c r="H313">
        <v>383</v>
      </c>
      <c r="J313" t="s">
        <v>371</v>
      </c>
      <c r="K313" t="s">
        <v>337</v>
      </c>
      <c r="L313" t="s">
        <v>1274</v>
      </c>
      <c r="M313" t="s">
        <v>495</v>
      </c>
      <c r="N313" t="s">
        <v>455</v>
      </c>
      <c r="O313" t="s">
        <v>455</v>
      </c>
      <c r="P313" t="s">
        <v>455</v>
      </c>
      <c r="Q313" t="s">
        <v>455</v>
      </c>
      <c r="R313" t="s">
        <v>455</v>
      </c>
      <c r="S313" t="s">
        <v>455</v>
      </c>
      <c r="T313" t="s">
        <v>455</v>
      </c>
      <c r="U313" t="s">
        <v>455</v>
      </c>
      <c r="V313" t="s">
        <v>455</v>
      </c>
      <c r="W313" t="s">
        <v>455</v>
      </c>
      <c r="X313" t="s">
        <v>455</v>
      </c>
      <c r="Y313" t="s">
        <v>455</v>
      </c>
      <c r="Z313" t="s">
        <v>455</v>
      </c>
      <c r="AA313" t="s">
        <v>455</v>
      </c>
      <c r="AB313" t="s">
        <v>455</v>
      </c>
      <c r="AC313" t="s">
        <v>455</v>
      </c>
      <c r="AD313" t="s">
        <v>455</v>
      </c>
      <c r="AE313" t="s">
        <v>455</v>
      </c>
      <c r="AF313" t="s">
        <v>455</v>
      </c>
      <c r="AG313" t="s">
        <v>455</v>
      </c>
      <c r="AH313" t="s">
        <v>455</v>
      </c>
      <c r="AI313" t="s">
        <v>455</v>
      </c>
      <c r="AJ313" t="s">
        <v>455</v>
      </c>
      <c r="AK313" t="s">
        <v>455</v>
      </c>
      <c r="AL313" t="s">
        <v>455</v>
      </c>
    </row>
    <row r="314" spans="1:38" x14ac:dyDescent="0.35">
      <c r="A314" s="1">
        <v>313</v>
      </c>
      <c r="B314" t="s">
        <v>1176</v>
      </c>
      <c r="C314" t="s">
        <v>421</v>
      </c>
      <c r="D314">
        <v>2021</v>
      </c>
      <c r="E314" t="s">
        <v>920</v>
      </c>
      <c r="F314" t="s">
        <v>186</v>
      </c>
      <c r="H314">
        <v>386</v>
      </c>
      <c r="J314" t="s">
        <v>421</v>
      </c>
      <c r="K314" t="s">
        <v>455</v>
      </c>
      <c r="L314" t="s">
        <v>455</v>
      </c>
      <c r="M314" t="s">
        <v>455</v>
      </c>
      <c r="N314" t="s">
        <v>455</v>
      </c>
      <c r="O314" t="s">
        <v>455</v>
      </c>
      <c r="P314" t="s">
        <v>455</v>
      </c>
      <c r="Q314" t="s">
        <v>455</v>
      </c>
      <c r="R314" t="s">
        <v>455</v>
      </c>
      <c r="S314" t="s">
        <v>455</v>
      </c>
      <c r="T314" t="s">
        <v>455</v>
      </c>
      <c r="U314" t="s">
        <v>455</v>
      </c>
      <c r="V314" t="s">
        <v>455</v>
      </c>
      <c r="W314" t="s">
        <v>455</v>
      </c>
      <c r="X314" t="s">
        <v>455</v>
      </c>
      <c r="Y314" t="s">
        <v>455</v>
      </c>
      <c r="Z314" t="s">
        <v>455</v>
      </c>
      <c r="AA314" t="s">
        <v>455</v>
      </c>
      <c r="AB314" t="s">
        <v>455</v>
      </c>
      <c r="AC314" t="s">
        <v>455</v>
      </c>
      <c r="AD314" t="s">
        <v>455</v>
      </c>
      <c r="AE314" t="s">
        <v>455</v>
      </c>
      <c r="AF314" t="s">
        <v>455</v>
      </c>
      <c r="AG314" t="s">
        <v>455</v>
      </c>
      <c r="AH314" t="s">
        <v>455</v>
      </c>
      <c r="AI314" t="s">
        <v>455</v>
      </c>
      <c r="AJ314" t="s">
        <v>455</v>
      </c>
      <c r="AK314" t="s">
        <v>455</v>
      </c>
      <c r="AL314" t="s">
        <v>455</v>
      </c>
    </row>
    <row r="315" spans="1:38" x14ac:dyDescent="0.35">
      <c r="A315" s="1">
        <v>314</v>
      </c>
      <c r="B315" t="s">
        <v>1177</v>
      </c>
      <c r="C315" t="s">
        <v>1057</v>
      </c>
      <c r="D315">
        <v>2021</v>
      </c>
      <c r="E315" t="s">
        <v>920</v>
      </c>
      <c r="F315" t="s">
        <v>186</v>
      </c>
      <c r="H315">
        <v>394</v>
      </c>
      <c r="J315" t="s">
        <v>817</v>
      </c>
      <c r="K315" t="s">
        <v>1633</v>
      </c>
      <c r="L315" t="s">
        <v>455</v>
      </c>
      <c r="M315" t="s">
        <v>455</v>
      </c>
      <c r="N315" t="s">
        <v>455</v>
      </c>
      <c r="O315" t="s">
        <v>455</v>
      </c>
      <c r="P315" t="s">
        <v>455</v>
      </c>
      <c r="Q315" t="s">
        <v>455</v>
      </c>
      <c r="R315" t="s">
        <v>455</v>
      </c>
      <c r="S315" t="s">
        <v>455</v>
      </c>
      <c r="T315" t="s">
        <v>455</v>
      </c>
      <c r="U315" t="s">
        <v>455</v>
      </c>
      <c r="V315" t="s">
        <v>455</v>
      </c>
      <c r="W315" t="s">
        <v>455</v>
      </c>
      <c r="X315" t="s">
        <v>455</v>
      </c>
      <c r="Y315" t="s">
        <v>455</v>
      </c>
      <c r="Z315" t="s">
        <v>455</v>
      </c>
      <c r="AA315" t="s">
        <v>455</v>
      </c>
      <c r="AB315" t="s">
        <v>455</v>
      </c>
      <c r="AC315" t="s">
        <v>455</v>
      </c>
      <c r="AD315" t="s">
        <v>455</v>
      </c>
      <c r="AE315" t="s">
        <v>455</v>
      </c>
      <c r="AF315" t="s">
        <v>455</v>
      </c>
      <c r="AG315" t="s">
        <v>455</v>
      </c>
      <c r="AH315" t="s">
        <v>455</v>
      </c>
      <c r="AI315" t="s">
        <v>455</v>
      </c>
      <c r="AJ315" t="s">
        <v>455</v>
      </c>
      <c r="AK315" t="s">
        <v>455</v>
      </c>
      <c r="AL315" t="s">
        <v>455</v>
      </c>
    </row>
    <row r="316" spans="1:38" x14ac:dyDescent="0.35">
      <c r="A316" s="1">
        <v>315</v>
      </c>
      <c r="B316" t="s">
        <v>1178</v>
      </c>
      <c r="C316" t="s">
        <v>1058</v>
      </c>
      <c r="D316">
        <v>2021</v>
      </c>
      <c r="E316" t="s">
        <v>920</v>
      </c>
      <c r="F316" t="s">
        <v>186</v>
      </c>
      <c r="H316">
        <v>404</v>
      </c>
      <c r="J316" t="s">
        <v>1265</v>
      </c>
      <c r="K316" t="s">
        <v>1809</v>
      </c>
      <c r="L316" t="s">
        <v>610</v>
      </c>
      <c r="M316" t="s">
        <v>455</v>
      </c>
      <c r="N316" t="s">
        <v>455</v>
      </c>
      <c r="O316" t="s">
        <v>455</v>
      </c>
      <c r="P316" t="s">
        <v>455</v>
      </c>
      <c r="Q316" t="s">
        <v>455</v>
      </c>
      <c r="R316" t="s">
        <v>455</v>
      </c>
      <c r="S316" t="s">
        <v>455</v>
      </c>
      <c r="T316" t="s">
        <v>455</v>
      </c>
      <c r="U316" t="s">
        <v>455</v>
      </c>
      <c r="V316" t="s">
        <v>455</v>
      </c>
      <c r="W316" t="s">
        <v>455</v>
      </c>
      <c r="X316" t="s">
        <v>455</v>
      </c>
      <c r="Y316" t="s">
        <v>455</v>
      </c>
      <c r="Z316" t="s">
        <v>455</v>
      </c>
      <c r="AA316" t="s">
        <v>455</v>
      </c>
      <c r="AB316" t="s">
        <v>455</v>
      </c>
      <c r="AC316" t="s">
        <v>455</v>
      </c>
      <c r="AD316" t="s">
        <v>455</v>
      </c>
      <c r="AE316" t="s">
        <v>455</v>
      </c>
      <c r="AF316" t="s">
        <v>455</v>
      </c>
      <c r="AG316" t="s">
        <v>455</v>
      </c>
      <c r="AH316" t="s">
        <v>455</v>
      </c>
      <c r="AI316" t="s">
        <v>455</v>
      </c>
      <c r="AJ316" t="s">
        <v>455</v>
      </c>
      <c r="AK316" t="s">
        <v>455</v>
      </c>
      <c r="AL316" t="s">
        <v>455</v>
      </c>
    </row>
    <row r="317" spans="1:38" x14ac:dyDescent="0.35">
      <c r="A317" s="1">
        <v>316</v>
      </c>
      <c r="B317" t="s">
        <v>1179</v>
      </c>
      <c r="C317" t="s">
        <v>1059</v>
      </c>
      <c r="D317">
        <v>2021</v>
      </c>
      <c r="E317" t="s">
        <v>920</v>
      </c>
      <c r="F317" t="s">
        <v>186</v>
      </c>
      <c r="H317">
        <v>407</v>
      </c>
      <c r="J317" t="s">
        <v>1265</v>
      </c>
      <c r="K317" t="s">
        <v>494</v>
      </c>
      <c r="L317" t="s">
        <v>455</v>
      </c>
      <c r="M317" t="s">
        <v>455</v>
      </c>
      <c r="N317" t="s">
        <v>455</v>
      </c>
      <c r="O317" t="s">
        <v>455</v>
      </c>
      <c r="P317" t="s">
        <v>455</v>
      </c>
      <c r="Q317" t="s">
        <v>455</v>
      </c>
      <c r="R317" t="s">
        <v>455</v>
      </c>
      <c r="S317" t="s">
        <v>455</v>
      </c>
      <c r="T317" t="s">
        <v>455</v>
      </c>
      <c r="U317" t="s">
        <v>455</v>
      </c>
      <c r="V317" t="s">
        <v>455</v>
      </c>
      <c r="W317" t="s">
        <v>455</v>
      </c>
      <c r="X317" t="s">
        <v>455</v>
      </c>
      <c r="Y317" t="s">
        <v>455</v>
      </c>
      <c r="Z317" t="s">
        <v>455</v>
      </c>
      <c r="AA317" t="s">
        <v>455</v>
      </c>
      <c r="AB317" t="s">
        <v>455</v>
      </c>
      <c r="AC317" t="s">
        <v>455</v>
      </c>
      <c r="AD317" t="s">
        <v>455</v>
      </c>
      <c r="AE317" t="s">
        <v>455</v>
      </c>
      <c r="AF317" t="s">
        <v>455</v>
      </c>
      <c r="AG317" t="s">
        <v>455</v>
      </c>
      <c r="AH317" t="s">
        <v>455</v>
      </c>
      <c r="AI317" t="s">
        <v>455</v>
      </c>
      <c r="AJ317" t="s">
        <v>455</v>
      </c>
      <c r="AK317" t="s">
        <v>455</v>
      </c>
      <c r="AL317" t="s">
        <v>455</v>
      </c>
    </row>
    <row r="318" spans="1:38" x14ac:dyDescent="0.35">
      <c r="A318" s="1">
        <v>317</v>
      </c>
      <c r="B318" t="s">
        <v>1180</v>
      </c>
      <c r="C318" t="s">
        <v>1060</v>
      </c>
      <c r="D318">
        <v>2021</v>
      </c>
      <c r="E318" t="s">
        <v>920</v>
      </c>
      <c r="F318" t="s">
        <v>186</v>
      </c>
      <c r="H318">
        <v>416</v>
      </c>
      <c r="J318" t="s">
        <v>1266</v>
      </c>
      <c r="K318" t="s">
        <v>1810</v>
      </c>
      <c r="L318" t="s">
        <v>455</v>
      </c>
      <c r="M318" t="s">
        <v>455</v>
      </c>
      <c r="N318" t="s">
        <v>455</v>
      </c>
      <c r="O318" t="s">
        <v>455</v>
      </c>
      <c r="P318" t="s">
        <v>455</v>
      </c>
      <c r="Q318" t="s">
        <v>455</v>
      </c>
      <c r="R318" t="s">
        <v>455</v>
      </c>
      <c r="S318" t="s">
        <v>455</v>
      </c>
      <c r="T318" t="s">
        <v>455</v>
      </c>
      <c r="U318" t="s">
        <v>455</v>
      </c>
      <c r="V318" t="s">
        <v>455</v>
      </c>
      <c r="W318" t="s">
        <v>455</v>
      </c>
      <c r="X318" t="s">
        <v>455</v>
      </c>
      <c r="Y318" t="s">
        <v>455</v>
      </c>
      <c r="Z318" t="s">
        <v>455</v>
      </c>
      <c r="AA318" t="s">
        <v>455</v>
      </c>
      <c r="AB318" t="s">
        <v>455</v>
      </c>
      <c r="AC318" t="s">
        <v>455</v>
      </c>
      <c r="AD318" t="s">
        <v>455</v>
      </c>
      <c r="AE318" t="s">
        <v>455</v>
      </c>
      <c r="AF318" t="s">
        <v>455</v>
      </c>
      <c r="AG318" t="s">
        <v>455</v>
      </c>
      <c r="AH318" t="s">
        <v>455</v>
      </c>
      <c r="AI318" t="s">
        <v>455</v>
      </c>
      <c r="AJ318" t="s">
        <v>455</v>
      </c>
      <c r="AK318" t="s">
        <v>455</v>
      </c>
      <c r="AL318" t="s">
        <v>455</v>
      </c>
    </row>
    <row r="319" spans="1:38" x14ac:dyDescent="0.35">
      <c r="A319" s="1">
        <v>318</v>
      </c>
      <c r="B319" t="s">
        <v>1181</v>
      </c>
      <c r="C319" t="s">
        <v>1061</v>
      </c>
      <c r="D319">
        <v>2021</v>
      </c>
      <c r="E319" t="s">
        <v>920</v>
      </c>
      <c r="F319" t="s">
        <v>186</v>
      </c>
      <c r="H319">
        <v>424</v>
      </c>
      <c r="J319" t="s">
        <v>1267</v>
      </c>
      <c r="K319" t="s">
        <v>821</v>
      </c>
      <c r="L319" t="s">
        <v>455</v>
      </c>
      <c r="M319" t="s">
        <v>455</v>
      </c>
      <c r="N319" t="s">
        <v>455</v>
      </c>
      <c r="O319" t="s">
        <v>455</v>
      </c>
      <c r="P319" t="s">
        <v>455</v>
      </c>
      <c r="Q319" t="s">
        <v>455</v>
      </c>
      <c r="R319" t="s">
        <v>455</v>
      </c>
      <c r="S319" t="s">
        <v>455</v>
      </c>
      <c r="T319" t="s">
        <v>455</v>
      </c>
      <c r="U319" t="s">
        <v>455</v>
      </c>
      <c r="V319" t="s">
        <v>455</v>
      </c>
      <c r="W319" t="s">
        <v>455</v>
      </c>
      <c r="X319" t="s">
        <v>455</v>
      </c>
      <c r="Y319" t="s">
        <v>455</v>
      </c>
      <c r="Z319" t="s">
        <v>455</v>
      </c>
      <c r="AA319" t="s">
        <v>455</v>
      </c>
      <c r="AB319" t="s">
        <v>455</v>
      </c>
      <c r="AC319" t="s">
        <v>455</v>
      </c>
      <c r="AD319" t="s">
        <v>455</v>
      </c>
      <c r="AE319" t="s">
        <v>455</v>
      </c>
      <c r="AF319" t="s">
        <v>455</v>
      </c>
      <c r="AG319" t="s">
        <v>455</v>
      </c>
      <c r="AH319" t="s">
        <v>455</v>
      </c>
      <c r="AI319" t="s">
        <v>455</v>
      </c>
      <c r="AJ319" t="s">
        <v>455</v>
      </c>
      <c r="AK319" t="s">
        <v>455</v>
      </c>
      <c r="AL319" t="s">
        <v>455</v>
      </c>
    </row>
    <row r="320" spans="1:38" x14ac:dyDescent="0.35">
      <c r="A320" s="1">
        <v>319</v>
      </c>
      <c r="B320" t="s">
        <v>1182</v>
      </c>
      <c r="C320" t="s">
        <v>1062</v>
      </c>
      <c r="D320">
        <v>2021</v>
      </c>
      <c r="E320" t="s">
        <v>920</v>
      </c>
      <c r="F320" t="s">
        <v>186</v>
      </c>
      <c r="H320">
        <v>431</v>
      </c>
      <c r="J320" t="s">
        <v>393</v>
      </c>
      <c r="K320" t="s">
        <v>1811</v>
      </c>
      <c r="L320" t="s">
        <v>581</v>
      </c>
      <c r="M320" t="s">
        <v>455</v>
      </c>
      <c r="N320" t="s">
        <v>455</v>
      </c>
      <c r="O320" t="s">
        <v>455</v>
      </c>
      <c r="P320" t="s">
        <v>455</v>
      </c>
      <c r="Q320" t="s">
        <v>455</v>
      </c>
      <c r="R320" t="s">
        <v>455</v>
      </c>
      <c r="S320" t="s">
        <v>455</v>
      </c>
      <c r="T320" t="s">
        <v>455</v>
      </c>
      <c r="U320" t="s">
        <v>455</v>
      </c>
      <c r="V320" t="s">
        <v>455</v>
      </c>
      <c r="W320" t="s">
        <v>455</v>
      </c>
      <c r="X320" t="s">
        <v>455</v>
      </c>
      <c r="Y320" t="s">
        <v>455</v>
      </c>
      <c r="Z320" t="s">
        <v>455</v>
      </c>
      <c r="AA320" t="s">
        <v>455</v>
      </c>
      <c r="AB320" t="s">
        <v>455</v>
      </c>
      <c r="AC320" t="s">
        <v>455</v>
      </c>
      <c r="AD320" t="s">
        <v>455</v>
      </c>
      <c r="AE320" t="s">
        <v>455</v>
      </c>
      <c r="AF320" t="s">
        <v>455</v>
      </c>
      <c r="AG320" t="s">
        <v>455</v>
      </c>
      <c r="AH320" t="s">
        <v>455</v>
      </c>
      <c r="AI320" t="s">
        <v>455</v>
      </c>
      <c r="AJ320" t="s">
        <v>455</v>
      </c>
      <c r="AK320" t="s">
        <v>455</v>
      </c>
      <c r="AL320" t="s">
        <v>455</v>
      </c>
    </row>
    <row r="321" spans="1:38" x14ac:dyDescent="0.35">
      <c r="A321" s="1">
        <v>320</v>
      </c>
      <c r="B321" t="s">
        <v>1183</v>
      </c>
      <c r="C321" t="s">
        <v>1063</v>
      </c>
      <c r="D321">
        <v>2021</v>
      </c>
      <c r="E321" t="s">
        <v>920</v>
      </c>
      <c r="F321" t="s">
        <v>186</v>
      </c>
      <c r="H321">
        <v>440</v>
      </c>
      <c r="J321" t="s">
        <v>1063</v>
      </c>
      <c r="K321" t="s">
        <v>455</v>
      </c>
      <c r="L321" t="s">
        <v>455</v>
      </c>
      <c r="M321" t="s">
        <v>455</v>
      </c>
      <c r="N321" t="s">
        <v>455</v>
      </c>
      <c r="O321" t="s">
        <v>455</v>
      </c>
      <c r="P321" t="s">
        <v>455</v>
      </c>
      <c r="Q321" t="s">
        <v>455</v>
      </c>
      <c r="R321" t="s">
        <v>455</v>
      </c>
      <c r="S321" t="s">
        <v>455</v>
      </c>
      <c r="T321" t="s">
        <v>455</v>
      </c>
      <c r="U321" t="s">
        <v>455</v>
      </c>
      <c r="V321" t="s">
        <v>455</v>
      </c>
      <c r="W321" t="s">
        <v>455</v>
      </c>
      <c r="X321" t="s">
        <v>455</v>
      </c>
      <c r="Y321" t="s">
        <v>455</v>
      </c>
      <c r="Z321" t="s">
        <v>455</v>
      </c>
      <c r="AA321" t="s">
        <v>455</v>
      </c>
      <c r="AB321" t="s">
        <v>455</v>
      </c>
      <c r="AC321" t="s">
        <v>455</v>
      </c>
      <c r="AD321" t="s">
        <v>455</v>
      </c>
      <c r="AE321" t="s">
        <v>455</v>
      </c>
      <c r="AF321" t="s">
        <v>455</v>
      </c>
      <c r="AG321" t="s">
        <v>455</v>
      </c>
      <c r="AH321" t="s">
        <v>455</v>
      </c>
      <c r="AI321" t="s">
        <v>455</v>
      </c>
      <c r="AJ321" t="s">
        <v>455</v>
      </c>
      <c r="AK321" t="s">
        <v>455</v>
      </c>
      <c r="AL321" t="s">
        <v>455</v>
      </c>
    </row>
    <row r="322" spans="1:38" x14ac:dyDescent="0.35">
      <c r="A322" s="1">
        <v>321</v>
      </c>
      <c r="B322" t="s">
        <v>1184</v>
      </c>
      <c r="C322" t="s">
        <v>1064</v>
      </c>
      <c r="D322">
        <v>2021</v>
      </c>
      <c r="E322" t="s">
        <v>920</v>
      </c>
      <c r="F322" t="s">
        <v>186</v>
      </c>
      <c r="H322">
        <v>449</v>
      </c>
      <c r="J322" t="s">
        <v>894</v>
      </c>
      <c r="K322" t="s">
        <v>1563</v>
      </c>
      <c r="L322" t="s">
        <v>455</v>
      </c>
      <c r="M322" t="s">
        <v>455</v>
      </c>
      <c r="N322" t="s">
        <v>455</v>
      </c>
      <c r="O322" t="s">
        <v>455</v>
      </c>
      <c r="P322" t="s">
        <v>455</v>
      </c>
      <c r="Q322" t="s">
        <v>455</v>
      </c>
      <c r="R322" t="s">
        <v>455</v>
      </c>
      <c r="S322" t="s">
        <v>455</v>
      </c>
      <c r="T322" t="s">
        <v>455</v>
      </c>
      <c r="U322" t="s">
        <v>455</v>
      </c>
      <c r="V322" t="s">
        <v>455</v>
      </c>
      <c r="W322" t="s">
        <v>455</v>
      </c>
      <c r="X322" t="s">
        <v>455</v>
      </c>
      <c r="Y322" t="s">
        <v>455</v>
      </c>
      <c r="Z322" t="s">
        <v>455</v>
      </c>
      <c r="AA322" t="s">
        <v>455</v>
      </c>
      <c r="AB322" t="s">
        <v>455</v>
      </c>
      <c r="AC322" t="s">
        <v>455</v>
      </c>
      <c r="AD322" t="s">
        <v>455</v>
      </c>
      <c r="AE322" t="s">
        <v>455</v>
      </c>
      <c r="AF322" t="s">
        <v>455</v>
      </c>
      <c r="AG322" t="s">
        <v>455</v>
      </c>
      <c r="AH322" t="s">
        <v>455</v>
      </c>
      <c r="AI322" t="s">
        <v>455</v>
      </c>
      <c r="AJ322" t="s">
        <v>455</v>
      </c>
      <c r="AK322" t="s">
        <v>455</v>
      </c>
      <c r="AL322" t="s">
        <v>455</v>
      </c>
    </row>
    <row r="323" spans="1:38" x14ac:dyDescent="0.35">
      <c r="A323" s="1">
        <v>322</v>
      </c>
      <c r="B323" t="s">
        <v>1185</v>
      </c>
      <c r="C323" t="s">
        <v>1065</v>
      </c>
      <c r="D323">
        <v>2021</v>
      </c>
      <c r="E323" t="s">
        <v>920</v>
      </c>
      <c r="F323" t="s">
        <v>186</v>
      </c>
      <c r="H323">
        <v>458</v>
      </c>
      <c r="J323" t="s">
        <v>1268</v>
      </c>
      <c r="K323" t="s">
        <v>379</v>
      </c>
      <c r="L323" t="s">
        <v>679</v>
      </c>
      <c r="M323" t="s">
        <v>455</v>
      </c>
      <c r="N323" t="s">
        <v>455</v>
      </c>
      <c r="O323" t="s">
        <v>455</v>
      </c>
      <c r="P323" t="s">
        <v>455</v>
      </c>
      <c r="Q323" t="s">
        <v>455</v>
      </c>
      <c r="R323" t="s">
        <v>455</v>
      </c>
      <c r="S323" t="s">
        <v>455</v>
      </c>
      <c r="T323" t="s">
        <v>455</v>
      </c>
      <c r="U323" t="s">
        <v>455</v>
      </c>
      <c r="V323" t="s">
        <v>455</v>
      </c>
      <c r="W323" t="s">
        <v>455</v>
      </c>
      <c r="X323" t="s">
        <v>455</v>
      </c>
      <c r="Y323" t="s">
        <v>455</v>
      </c>
      <c r="Z323" t="s">
        <v>455</v>
      </c>
      <c r="AA323" t="s">
        <v>455</v>
      </c>
      <c r="AB323" t="s">
        <v>455</v>
      </c>
      <c r="AC323" t="s">
        <v>455</v>
      </c>
      <c r="AD323" t="s">
        <v>455</v>
      </c>
      <c r="AE323" t="s">
        <v>455</v>
      </c>
      <c r="AF323" t="s">
        <v>455</v>
      </c>
      <c r="AG323" t="s">
        <v>455</v>
      </c>
      <c r="AH323" t="s">
        <v>455</v>
      </c>
      <c r="AI323" t="s">
        <v>455</v>
      </c>
      <c r="AJ323" t="s">
        <v>455</v>
      </c>
      <c r="AK323" t="s">
        <v>455</v>
      </c>
      <c r="AL323" t="s">
        <v>455</v>
      </c>
    </row>
    <row r="324" spans="1:38" x14ac:dyDescent="0.35">
      <c r="A324" s="1">
        <v>323</v>
      </c>
      <c r="B324" t="s">
        <v>1186</v>
      </c>
      <c r="C324" t="s">
        <v>1066</v>
      </c>
      <c r="D324">
        <v>2021</v>
      </c>
      <c r="E324" t="s">
        <v>920</v>
      </c>
      <c r="F324" t="s">
        <v>186</v>
      </c>
      <c r="H324">
        <v>466</v>
      </c>
      <c r="J324" t="s">
        <v>1269</v>
      </c>
      <c r="K324" t="s">
        <v>487</v>
      </c>
      <c r="L324" t="s">
        <v>455</v>
      </c>
      <c r="M324" t="s">
        <v>455</v>
      </c>
      <c r="N324" t="s">
        <v>455</v>
      </c>
      <c r="O324" t="s">
        <v>455</v>
      </c>
      <c r="P324" t="s">
        <v>455</v>
      </c>
      <c r="Q324" t="s">
        <v>455</v>
      </c>
      <c r="R324" t="s">
        <v>455</v>
      </c>
      <c r="S324" t="s">
        <v>455</v>
      </c>
      <c r="T324" t="s">
        <v>455</v>
      </c>
      <c r="U324" t="s">
        <v>455</v>
      </c>
      <c r="V324" t="s">
        <v>455</v>
      </c>
      <c r="W324" t="s">
        <v>455</v>
      </c>
      <c r="X324" t="s">
        <v>455</v>
      </c>
      <c r="Y324" t="s">
        <v>455</v>
      </c>
      <c r="Z324" t="s">
        <v>455</v>
      </c>
      <c r="AA324" t="s">
        <v>455</v>
      </c>
      <c r="AB324" t="s">
        <v>455</v>
      </c>
      <c r="AC324" t="s">
        <v>455</v>
      </c>
      <c r="AD324" t="s">
        <v>455</v>
      </c>
      <c r="AE324" t="s">
        <v>455</v>
      </c>
      <c r="AF324" t="s">
        <v>455</v>
      </c>
      <c r="AG324" t="s">
        <v>455</v>
      </c>
      <c r="AH324" t="s">
        <v>455</v>
      </c>
      <c r="AI324" t="s">
        <v>455</v>
      </c>
      <c r="AJ324" t="s">
        <v>455</v>
      </c>
      <c r="AK324" t="s">
        <v>455</v>
      </c>
      <c r="AL324" t="s">
        <v>455</v>
      </c>
    </row>
    <row r="325" spans="1:38" x14ac:dyDescent="0.35">
      <c r="A325" s="1">
        <v>324</v>
      </c>
      <c r="B325" t="s">
        <v>1187</v>
      </c>
      <c r="C325" t="s">
        <v>1067</v>
      </c>
      <c r="D325">
        <v>2021</v>
      </c>
      <c r="E325" t="s">
        <v>920</v>
      </c>
      <c r="F325" t="s">
        <v>186</v>
      </c>
      <c r="H325">
        <v>474</v>
      </c>
      <c r="J325" t="s">
        <v>1269</v>
      </c>
      <c r="K325" t="s">
        <v>1701</v>
      </c>
      <c r="L325" t="s">
        <v>455</v>
      </c>
      <c r="M325" t="s">
        <v>455</v>
      </c>
      <c r="N325" t="s">
        <v>455</v>
      </c>
      <c r="O325" t="s">
        <v>455</v>
      </c>
      <c r="P325" t="s">
        <v>455</v>
      </c>
      <c r="Q325" t="s">
        <v>455</v>
      </c>
      <c r="R325" t="s">
        <v>455</v>
      </c>
      <c r="S325" t="s">
        <v>455</v>
      </c>
      <c r="T325" t="s">
        <v>455</v>
      </c>
      <c r="U325" t="s">
        <v>455</v>
      </c>
      <c r="V325" t="s">
        <v>455</v>
      </c>
      <c r="W325" t="s">
        <v>455</v>
      </c>
      <c r="X325" t="s">
        <v>455</v>
      </c>
      <c r="Y325" t="s">
        <v>455</v>
      </c>
      <c r="Z325" t="s">
        <v>455</v>
      </c>
      <c r="AA325" t="s">
        <v>455</v>
      </c>
      <c r="AB325" t="s">
        <v>455</v>
      </c>
      <c r="AC325" t="s">
        <v>455</v>
      </c>
      <c r="AD325" t="s">
        <v>455</v>
      </c>
      <c r="AE325" t="s">
        <v>455</v>
      </c>
      <c r="AF325" t="s">
        <v>455</v>
      </c>
      <c r="AG325" t="s">
        <v>455</v>
      </c>
      <c r="AH325" t="s">
        <v>455</v>
      </c>
      <c r="AI325" t="s">
        <v>455</v>
      </c>
      <c r="AJ325" t="s">
        <v>455</v>
      </c>
      <c r="AK325" t="s">
        <v>455</v>
      </c>
      <c r="AL325" t="s">
        <v>455</v>
      </c>
    </row>
    <row r="326" spans="1:38" x14ac:dyDescent="0.35">
      <c r="A326" s="1">
        <v>325</v>
      </c>
      <c r="B326" t="s">
        <v>1188</v>
      </c>
      <c r="C326" t="s">
        <v>1068</v>
      </c>
      <c r="D326">
        <v>2021</v>
      </c>
      <c r="E326" t="s">
        <v>920</v>
      </c>
      <c r="F326" t="s">
        <v>186</v>
      </c>
      <c r="H326">
        <v>482</v>
      </c>
      <c r="J326" t="s">
        <v>1270</v>
      </c>
      <c r="K326" t="s">
        <v>1812</v>
      </c>
      <c r="L326" t="s">
        <v>455</v>
      </c>
      <c r="M326" t="s">
        <v>455</v>
      </c>
      <c r="N326" t="s">
        <v>455</v>
      </c>
      <c r="O326" t="s">
        <v>455</v>
      </c>
      <c r="P326" t="s">
        <v>455</v>
      </c>
      <c r="Q326" t="s">
        <v>455</v>
      </c>
      <c r="R326" t="s">
        <v>455</v>
      </c>
      <c r="S326" t="s">
        <v>455</v>
      </c>
      <c r="T326" t="s">
        <v>455</v>
      </c>
      <c r="U326" t="s">
        <v>455</v>
      </c>
      <c r="V326" t="s">
        <v>455</v>
      </c>
      <c r="W326" t="s">
        <v>455</v>
      </c>
      <c r="X326" t="s">
        <v>455</v>
      </c>
      <c r="Y326" t="s">
        <v>455</v>
      </c>
      <c r="Z326" t="s">
        <v>455</v>
      </c>
      <c r="AA326" t="s">
        <v>455</v>
      </c>
      <c r="AB326" t="s">
        <v>455</v>
      </c>
      <c r="AC326" t="s">
        <v>455</v>
      </c>
      <c r="AD326" t="s">
        <v>455</v>
      </c>
      <c r="AE326" t="s">
        <v>455</v>
      </c>
      <c r="AF326" t="s">
        <v>455</v>
      </c>
      <c r="AG326" t="s">
        <v>455</v>
      </c>
      <c r="AH326" t="s">
        <v>455</v>
      </c>
      <c r="AI326" t="s">
        <v>455</v>
      </c>
      <c r="AJ326" t="s">
        <v>455</v>
      </c>
      <c r="AK326" t="s">
        <v>455</v>
      </c>
      <c r="AL326" t="s">
        <v>455</v>
      </c>
    </row>
    <row r="327" spans="1:38" x14ac:dyDescent="0.35">
      <c r="A327" s="1">
        <v>326</v>
      </c>
      <c r="B327" t="s">
        <v>1189</v>
      </c>
      <c r="C327" t="s">
        <v>1069</v>
      </c>
      <c r="D327">
        <v>2021</v>
      </c>
      <c r="E327" t="s">
        <v>920</v>
      </c>
      <c r="F327" t="s">
        <v>186</v>
      </c>
      <c r="H327">
        <v>485</v>
      </c>
      <c r="J327" t="s">
        <v>1271</v>
      </c>
      <c r="K327" t="s">
        <v>1813</v>
      </c>
      <c r="L327" t="s">
        <v>1814</v>
      </c>
      <c r="M327" t="s">
        <v>455</v>
      </c>
      <c r="N327" t="s">
        <v>455</v>
      </c>
      <c r="O327" t="s">
        <v>455</v>
      </c>
      <c r="P327" t="s">
        <v>455</v>
      </c>
      <c r="Q327" t="s">
        <v>455</v>
      </c>
      <c r="R327" t="s">
        <v>455</v>
      </c>
      <c r="S327" t="s">
        <v>455</v>
      </c>
      <c r="T327" t="s">
        <v>455</v>
      </c>
      <c r="U327" t="s">
        <v>455</v>
      </c>
      <c r="V327" t="s">
        <v>455</v>
      </c>
      <c r="W327" t="s">
        <v>455</v>
      </c>
      <c r="X327" t="s">
        <v>455</v>
      </c>
      <c r="Y327" t="s">
        <v>455</v>
      </c>
      <c r="Z327" t="s">
        <v>455</v>
      </c>
      <c r="AA327" t="s">
        <v>455</v>
      </c>
      <c r="AB327" t="s">
        <v>455</v>
      </c>
      <c r="AC327" t="s">
        <v>455</v>
      </c>
      <c r="AD327" t="s">
        <v>455</v>
      </c>
      <c r="AE327" t="s">
        <v>455</v>
      </c>
      <c r="AF327" t="s">
        <v>455</v>
      </c>
      <c r="AG327" t="s">
        <v>455</v>
      </c>
      <c r="AH327" t="s">
        <v>455</v>
      </c>
      <c r="AI327" t="s">
        <v>455</v>
      </c>
      <c r="AJ327" t="s">
        <v>455</v>
      </c>
      <c r="AK327" t="s">
        <v>455</v>
      </c>
      <c r="AL327" t="s">
        <v>455</v>
      </c>
    </row>
    <row r="328" spans="1:38" x14ac:dyDescent="0.35">
      <c r="A328" s="1">
        <v>327</v>
      </c>
      <c r="B328" t="s">
        <v>1190</v>
      </c>
      <c r="C328" t="s">
        <v>1070</v>
      </c>
      <c r="D328">
        <v>2021</v>
      </c>
      <c r="E328" t="s">
        <v>920</v>
      </c>
      <c r="F328" t="s">
        <v>186</v>
      </c>
      <c r="H328">
        <v>494</v>
      </c>
      <c r="J328" t="s">
        <v>584</v>
      </c>
      <c r="K328" t="s">
        <v>1815</v>
      </c>
      <c r="L328" t="s">
        <v>455</v>
      </c>
      <c r="M328" t="s">
        <v>455</v>
      </c>
      <c r="N328" t="s">
        <v>455</v>
      </c>
      <c r="O328" t="s">
        <v>455</v>
      </c>
      <c r="P328" t="s">
        <v>455</v>
      </c>
      <c r="Q328" t="s">
        <v>455</v>
      </c>
      <c r="R328" t="s">
        <v>455</v>
      </c>
      <c r="S328" t="s">
        <v>455</v>
      </c>
      <c r="T328" t="s">
        <v>455</v>
      </c>
      <c r="U328" t="s">
        <v>455</v>
      </c>
      <c r="V328" t="s">
        <v>455</v>
      </c>
      <c r="W328" t="s">
        <v>455</v>
      </c>
      <c r="X328" t="s">
        <v>455</v>
      </c>
      <c r="Y328" t="s">
        <v>455</v>
      </c>
      <c r="Z328" t="s">
        <v>455</v>
      </c>
      <c r="AA328" t="s">
        <v>455</v>
      </c>
      <c r="AB328" t="s">
        <v>455</v>
      </c>
      <c r="AC328" t="s">
        <v>455</v>
      </c>
      <c r="AD328" t="s">
        <v>455</v>
      </c>
      <c r="AE328" t="s">
        <v>455</v>
      </c>
      <c r="AF328" t="s">
        <v>455</v>
      </c>
      <c r="AG328" t="s">
        <v>455</v>
      </c>
      <c r="AH328" t="s">
        <v>455</v>
      </c>
      <c r="AI328" t="s">
        <v>455</v>
      </c>
      <c r="AJ328" t="s">
        <v>455</v>
      </c>
      <c r="AK328" t="s">
        <v>455</v>
      </c>
      <c r="AL328" t="s">
        <v>455</v>
      </c>
    </row>
    <row r="329" spans="1:38" x14ac:dyDescent="0.35">
      <c r="A329" s="1">
        <v>328</v>
      </c>
      <c r="B329" t="s">
        <v>1191</v>
      </c>
      <c r="C329" t="s">
        <v>1071</v>
      </c>
      <c r="D329">
        <v>2021</v>
      </c>
      <c r="E329" t="s">
        <v>920</v>
      </c>
      <c r="F329" t="s">
        <v>186</v>
      </c>
      <c r="H329">
        <v>497</v>
      </c>
      <c r="J329" t="s">
        <v>1272</v>
      </c>
      <c r="K329" t="s">
        <v>453</v>
      </c>
      <c r="L329" t="s">
        <v>321</v>
      </c>
      <c r="M329" t="s">
        <v>455</v>
      </c>
      <c r="N329" t="s">
        <v>455</v>
      </c>
      <c r="O329" t="s">
        <v>455</v>
      </c>
      <c r="P329" t="s">
        <v>455</v>
      </c>
      <c r="Q329" t="s">
        <v>455</v>
      </c>
      <c r="R329" t="s">
        <v>455</v>
      </c>
      <c r="S329" t="s">
        <v>455</v>
      </c>
      <c r="T329" t="s">
        <v>455</v>
      </c>
      <c r="U329" t="s">
        <v>455</v>
      </c>
      <c r="V329" t="s">
        <v>455</v>
      </c>
      <c r="W329" t="s">
        <v>455</v>
      </c>
      <c r="X329" t="s">
        <v>455</v>
      </c>
      <c r="Y329" t="s">
        <v>455</v>
      </c>
      <c r="Z329" t="s">
        <v>455</v>
      </c>
      <c r="AA329" t="s">
        <v>455</v>
      </c>
      <c r="AB329" t="s">
        <v>455</v>
      </c>
      <c r="AC329" t="s">
        <v>455</v>
      </c>
      <c r="AD329" t="s">
        <v>455</v>
      </c>
      <c r="AE329" t="s">
        <v>455</v>
      </c>
      <c r="AF329" t="s">
        <v>455</v>
      </c>
      <c r="AG329" t="s">
        <v>455</v>
      </c>
      <c r="AH329" t="s">
        <v>455</v>
      </c>
      <c r="AI329" t="s">
        <v>455</v>
      </c>
      <c r="AJ329" t="s">
        <v>455</v>
      </c>
      <c r="AK329" t="s">
        <v>455</v>
      </c>
      <c r="AL329" t="s">
        <v>455</v>
      </c>
    </row>
    <row r="330" spans="1:38" x14ac:dyDescent="0.35">
      <c r="A330" s="1">
        <v>329</v>
      </c>
      <c r="B330" t="s">
        <v>1192</v>
      </c>
      <c r="C330" t="s">
        <v>167</v>
      </c>
      <c r="D330">
        <v>2021</v>
      </c>
      <c r="E330" t="s">
        <v>920</v>
      </c>
      <c r="F330" t="s">
        <v>186</v>
      </c>
      <c r="H330">
        <v>500</v>
      </c>
      <c r="J330" t="s">
        <v>373</v>
      </c>
      <c r="K330" t="s">
        <v>550</v>
      </c>
      <c r="L330" t="s">
        <v>455</v>
      </c>
      <c r="M330" t="s">
        <v>455</v>
      </c>
      <c r="N330" t="s">
        <v>455</v>
      </c>
      <c r="O330" t="s">
        <v>455</v>
      </c>
      <c r="P330" t="s">
        <v>455</v>
      </c>
      <c r="Q330" t="s">
        <v>455</v>
      </c>
      <c r="R330" t="s">
        <v>455</v>
      </c>
      <c r="S330" t="s">
        <v>455</v>
      </c>
      <c r="T330" t="s">
        <v>455</v>
      </c>
      <c r="U330" t="s">
        <v>455</v>
      </c>
      <c r="V330" t="s">
        <v>455</v>
      </c>
      <c r="W330" t="s">
        <v>455</v>
      </c>
      <c r="X330" t="s">
        <v>455</v>
      </c>
      <c r="Y330" t="s">
        <v>455</v>
      </c>
      <c r="Z330" t="s">
        <v>455</v>
      </c>
      <c r="AA330" t="s">
        <v>455</v>
      </c>
      <c r="AB330" t="s">
        <v>455</v>
      </c>
      <c r="AC330" t="s">
        <v>455</v>
      </c>
      <c r="AD330" t="s">
        <v>455</v>
      </c>
      <c r="AE330" t="s">
        <v>455</v>
      </c>
      <c r="AF330" t="s">
        <v>455</v>
      </c>
      <c r="AG330" t="s">
        <v>455</v>
      </c>
      <c r="AH330" t="s">
        <v>455</v>
      </c>
      <c r="AI330" t="s">
        <v>455</v>
      </c>
      <c r="AJ330" t="s">
        <v>455</v>
      </c>
      <c r="AK330" t="s">
        <v>455</v>
      </c>
      <c r="AL330" t="s">
        <v>455</v>
      </c>
    </row>
    <row r="331" spans="1:38" x14ac:dyDescent="0.35">
      <c r="A331" s="1">
        <v>330</v>
      </c>
      <c r="B331" t="s">
        <v>1193</v>
      </c>
      <c r="C331" t="s">
        <v>1072</v>
      </c>
      <c r="D331">
        <v>2021</v>
      </c>
      <c r="E331" t="s">
        <v>920</v>
      </c>
      <c r="F331" t="s">
        <v>186</v>
      </c>
      <c r="H331">
        <v>509</v>
      </c>
      <c r="J331" t="s">
        <v>1273</v>
      </c>
      <c r="K331" t="s">
        <v>1816</v>
      </c>
      <c r="L331" t="s">
        <v>455</v>
      </c>
      <c r="M331" t="s">
        <v>455</v>
      </c>
      <c r="N331" t="s">
        <v>455</v>
      </c>
      <c r="O331" t="s">
        <v>455</v>
      </c>
      <c r="P331" t="s">
        <v>455</v>
      </c>
      <c r="Q331" t="s">
        <v>455</v>
      </c>
      <c r="R331" t="s">
        <v>455</v>
      </c>
      <c r="S331" t="s">
        <v>455</v>
      </c>
      <c r="T331" t="s">
        <v>455</v>
      </c>
      <c r="U331" t="s">
        <v>455</v>
      </c>
      <c r="V331" t="s">
        <v>455</v>
      </c>
      <c r="W331" t="s">
        <v>455</v>
      </c>
      <c r="X331" t="s">
        <v>455</v>
      </c>
      <c r="Y331" t="s">
        <v>455</v>
      </c>
      <c r="Z331" t="s">
        <v>455</v>
      </c>
      <c r="AA331" t="s">
        <v>455</v>
      </c>
      <c r="AB331" t="s">
        <v>455</v>
      </c>
      <c r="AC331" t="s">
        <v>455</v>
      </c>
      <c r="AD331" t="s">
        <v>455</v>
      </c>
      <c r="AE331" t="s">
        <v>455</v>
      </c>
      <c r="AF331" t="s">
        <v>455</v>
      </c>
      <c r="AG331" t="s">
        <v>455</v>
      </c>
      <c r="AH331" t="s">
        <v>455</v>
      </c>
      <c r="AI331" t="s">
        <v>455</v>
      </c>
      <c r="AJ331" t="s">
        <v>455</v>
      </c>
      <c r="AK331" t="s">
        <v>455</v>
      </c>
      <c r="AL331" t="s">
        <v>455</v>
      </c>
    </row>
    <row r="332" spans="1:38" x14ac:dyDescent="0.35">
      <c r="A332" s="1">
        <v>331</v>
      </c>
      <c r="B332" t="s">
        <v>1194</v>
      </c>
      <c r="C332" t="s">
        <v>1073</v>
      </c>
      <c r="D332">
        <v>2021</v>
      </c>
      <c r="E332" t="s">
        <v>920</v>
      </c>
      <c r="F332" t="s">
        <v>186</v>
      </c>
      <c r="H332">
        <v>517</v>
      </c>
      <c r="J332" t="s">
        <v>1274</v>
      </c>
      <c r="K332" t="s">
        <v>371</v>
      </c>
      <c r="L332" t="s">
        <v>337</v>
      </c>
      <c r="M332" t="s">
        <v>548</v>
      </c>
      <c r="N332" t="s">
        <v>495</v>
      </c>
      <c r="O332" t="s">
        <v>455</v>
      </c>
      <c r="P332" t="s">
        <v>455</v>
      </c>
      <c r="Q332" t="s">
        <v>455</v>
      </c>
      <c r="R332" t="s">
        <v>455</v>
      </c>
      <c r="S332" t="s">
        <v>455</v>
      </c>
      <c r="T332" t="s">
        <v>455</v>
      </c>
      <c r="U332" t="s">
        <v>455</v>
      </c>
      <c r="V332" t="s">
        <v>455</v>
      </c>
      <c r="W332" t="s">
        <v>455</v>
      </c>
      <c r="X332" t="s">
        <v>455</v>
      </c>
      <c r="Y332" t="s">
        <v>455</v>
      </c>
      <c r="Z332" t="s">
        <v>455</v>
      </c>
      <c r="AA332" t="s">
        <v>455</v>
      </c>
      <c r="AB332" t="s">
        <v>455</v>
      </c>
      <c r="AC332" t="s">
        <v>455</v>
      </c>
      <c r="AD332" t="s">
        <v>455</v>
      </c>
      <c r="AE332" t="s">
        <v>455</v>
      </c>
      <c r="AF332" t="s">
        <v>455</v>
      </c>
      <c r="AG332" t="s">
        <v>455</v>
      </c>
      <c r="AH332" t="s">
        <v>455</v>
      </c>
      <c r="AI332" t="s">
        <v>455</v>
      </c>
      <c r="AJ332" t="s">
        <v>455</v>
      </c>
      <c r="AK332" t="s">
        <v>455</v>
      </c>
      <c r="AL332" t="s">
        <v>455</v>
      </c>
    </row>
    <row r="333" spans="1:38" x14ac:dyDescent="0.35">
      <c r="A333" s="1">
        <v>332</v>
      </c>
      <c r="B333" t="s">
        <v>1195</v>
      </c>
      <c r="C333" t="s">
        <v>175</v>
      </c>
      <c r="D333">
        <v>2021</v>
      </c>
      <c r="E333" t="s">
        <v>920</v>
      </c>
      <c r="F333" t="s">
        <v>186</v>
      </c>
      <c r="H333">
        <v>526</v>
      </c>
      <c r="J333" t="s">
        <v>412</v>
      </c>
      <c r="K333" t="s">
        <v>610</v>
      </c>
      <c r="L333" t="s">
        <v>455</v>
      </c>
      <c r="M333" t="s">
        <v>455</v>
      </c>
      <c r="N333" t="s">
        <v>455</v>
      </c>
      <c r="O333" t="s">
        <v>455</v>
      </c>
      <c r="P333" t="s">
        <v>455</v>
      </c>
      <c r="Q333" t="s">
        <v>455</v>
      </c>
      <c r="R333" t="s">
        <v>455</v>
      </c>
      <c r="S333" t="s">
        <v>455</v>
      </c>
      <c r="T333" t="s">
        <v>455</v>
      </c>
      <c r="U333" t="s">
        <v>455</v>
      </c>
      <c r="V333" t="s">
        <v>455</v>
      </c>
      <c r="W333" t="s">
        <v>455</v>
      </c>
      <c r="X333" t="s">
        <v>455</v>
      </c>
      <c r="Y333" t="s">
        <v>455</v>
      </c>
      <c r="Z333" t="s">
        <v>455</v>
      </c>
      <c r="AA333" t="s">
        <v>455</v>
      </c>
      <c r="AB333" t="s">
        <v>455</v>
      </c>
      <c r="AC333" t="s">
        <v>455</v>
      </c>
      <c r="AD333" t="s">
        <v>455</v>
      </c>
      <c r="AE333" t="s">
        <v>455</v>
      </c>
      <c r="AF333" t="s">
        <v>455</v>
      </c>
      <c r="AG333" t="s">
        <v>455</v>
      </c>
      <c r="AH333" t="s">
        <v>455</v>
      </c>
      <c r="AI333" t="s">
        <v>455</v>
      </c>
      <c r="AJ333" t="s">
        <v>455</v>
      </c>
      <c r="AK333" t="s">
        <v>455</v>
      </c>
      <c r="AL333" t="s">
        <v>455</v>
      </c>
    </row>
    <row r="334" spans="1:38" x14ac:dyDescent="0.35">
      <c r="A334" s="1">
        <v>333</v>
      </c>
      <c r="B334" t="s">
        <v>1196</v>
      </c>
      <c r="C334" t="s">
        <v>1074</v>
      </c>
      <c r="D334">
        <v>2021</v>
      </c>
      <c r="E334" t="s">
        <v>920</v>
      </c>
      <c r="F334" t="s">
        <v>186</v>
      </c>
      <c r="H334">
        <v>534</v>
      </c>
      <c r="J334" t="s">
        <v>1275</v>
      </c>
      <c r="K334" t="s">
        <v>1817</v>
      </c>
      <c r="L334" t="s">
        <v>455</v>
      </c>
      <c r="M334" t="s">
        <v>455</v>
      </c>
      <c r="N334" t="s">
        <v>455</v>
      </c>
      <c r="O334" t="s">
        <v>455</v>
      </c>
      <c r="P334" t="s">
        <v>455</v>
      </c>
      <c r="Q334" t="s">
        <v>455</v>
      </c>
      <c r="R334" t="s">
        <v>455</v>
      </c>
      <c r="S334" t="s">
        <v>455</v>
      </c>
      <c r="T334" t="s">
        <v>455</v>
      </c>
      <c r="U334" t="s">
        <v>455</v>
      </c>
      <c r="V334" t="s">
        <v>455</v>
      </c>
      <c r="W334" t="s">
        <v>455</v>
      </c>
      <c r="X334" t="s">
        <v>455</v>
      </c>
      <c r="Y334" t="s">
        <v>455</v>
      </c>
      <c r="Z334" t="s">
        <v>455</v>
      </c>
      <c r="AA334" t="s">
        <v>455</v>
      </c>
      <c r="AB334" t="s">
        <v>455</v>
      </c>
      <c r="AC334" t="s">
        <v>455</v>
      </c>
      <c r="AD334" t="s">
        <v>455</v>
      </c>
      <c r="AE334" t="s">
        <v>455</v>
      </c>
      <c r="AF334" t="s">
        <v>455</v>
      </c>
      <c r="AG334" t="s">
        <v>455</v>
      </c>
      <c r="AH334" t="s">
        <v>455</v>
      </c>
      <c r="AI334" t="s">
        <v>455</v>
      </c>
      <c r="AJ334" t="s">
        <v>455</v>
      </c>
      <c r="AK334" t="s">
        <v>455</v>
      </c>
      <c r="AL334" t="s">
        <v>455</v>
      </c>
    </row>
    <row r="335" spans="1:38" x14ac:dyDescent="0.35">
      <c r="A335" s="1">
        <v>334</v>
      </c>
      <c r="B335" t="s">
        <v>1197</v>
      </c>
      <c r="C335" t="s">
        <v>1075</v>
      </c>
      <c r="D335">
        <v>2021</v>
      </c>
      <c r="E335" t="s">
        <v>920</v>
      </c>
      <c r="F335" t="s">
        <v>186</v>
      </c>
      <c r="H335">
        <v>543</v>
      </c>
      <c r="J335" t="s">
        <v>1276</v>
      </c>
      <c r="K335" t="s">
        <v>1818</v>
      </c>
      <c r="L335" t="s">
        <v>1819</v>
      </c>
      <c r="M335" t="s">
        <v>455</v>
      </c>
      <c r="N335" t="s">
        <v>455</v>
      </c>
      <c r="O335" t="s">
        <v>455</v>
      </c>
      <c r="P335" t="s">
        <v>455</v>
      </c>
      <c r="Q335" t="s">
        <v>455</v>
      </c>
      <c r="R335" t="s">
        <v>455</v>
      </c>
      <c r="S335" t="s">
        <v>455</v>
      </c>
      <c r="T335" t="s">
        <v>455</v>
      </c>
      <c r="U335" t="s">
        <v>455</v>
      </c>
      <c r="V335" t="s">
        <v>455</v>
      </c>
      <c r="W335" t="s">
        <v>455</v>
      </c>
      <c r="X335" t="s">
        <v>455</v>
      </c>
      <c r="Y335" t="s">
        <v>455</v>
      </c>
      <c r="Z335" t="s">
        <v>455</v>
      </c>
      <c r="AA335" t="s">
        <v>455</v>
      </c>
      <c r="AB335" t="s">
        <v>455</v>
      </c>
      <c r="AC335" t="s">
        <v>455</v>
      </c>
      <c r="AD335" t="s">
        <v>455</v>
      </c>
      <c r="AE335" t="s">
        <v>455</v>
      </c>
      <c r="AF335" t="s">
        <v>455</v>
      </c>
      <c r="AG335" t="s">
        <v>455</v>
      </c>
      <c r="AH335" t="s">
        <v>455</v>
      </c>
      <c r="AI335" t="s">
        <v>455</v>
      </c>
      <c r="AJ335" t="s">
        <v>455</v>
      </c>
      <c r="AK335" t="s">
        <v>455</v>
      </c>
      <c r="AL335" t="s">
        <v>455</v>
      </c>
    </row>
    <row r="336" spans="1:38" x14ac:dyDescent="0.35">
      <c r="A336" s="1">
        <v>335</v>
      </c>
      <c r="B336" t="s">
        <v>1198</v>
      </c>
      <c r="C336" t="s">
        <v>1076</v>
      </c>
      <c r="D336">
        <v>2021</v>
      </c>
      <c r="E336" t="s">
        <v>920</v>
      </c>
      <c r="F336" t="s">
        <v>186</v>
      </c>
      <c r="H336">
        <v>546</v>
      </c>
      <c r="J336" t="s">
        <v>321</v>
      </c>
      <c r="K336" t="s">
        <v>1820</v>
      </c>
      <c r="L336" t="s">
        <v>453</v>
      </c>
      <c r="M336" t="s">
        <v>455</v>
      </c>
      <c r="N336" t="s">
        <v>455</v>
      </c>
      <c r="O336" t="s">
        <v>455</v>
      </c>
      <c r="P336" t="s">
        <v>455</v>
      </c>
      <c r="Q336" t="s">
        <v>455</v>
      </c>
      <c r="R336" t="s">
        <v>455</v>
      </c>
      <c r="S336" t="s">
        <v>455</v>
      </c>
      <c r="T336" t="s">
        <v>455</v>
      </c>
      <c r="U336" t="s">
        <v>455</v>
      </c>
      <c r="V336" t="s">
        <v>455</v>
      </c>
      <c r="W336" t="s">
        <v>455</v>
      </c>
      <c r="X336" t="s">
        <v>455</v>
      </c>
      <c r="Y336" t="s">
        <v>455</v>
      </c>
      <c r="Z336" t="s">
        <v>455</v>
      </c>
      <c r="AA336" t="s">
        <v>455</v>
      </c>
      <c r="AB336" t="s">
        <v>455</v>
      </c>
      <c r="AC336" t="s">
        <v>455</v>
      </c>
      <c r="AD336" t="s">
        <v>455</v>
      </c>
      <c r="AE336" t="s">
        <v>455</v>
      </c>
      <c r="AF336" t="s">
        <v>455</v>
      </c>
      <c r="AG336" t="s">
        <v>455</v>
      </c>
      <c r="AH336" t="s">
        <v>455</v>
      </c>
      <c r="AI336" t="s">
        <v>455</v>
      </c>
      <c r="AJ336" t="s">
        <v>455</v>
      </c>
      <c r="AK336" t="s">
        <v>455</v>
      </c>
      <c r="AL336" t="s">
        <v>455</v>
      </c>
    </row>
    <row r="337" spans="1:38" x14ac:dyDescent="0.35">
      <c r="A337" s="1">
        <v>336</v>
      </c>
      <c r="B337" t="s">
        <v>1199</v>
      </c>
      <c r="C337" t="s">
        <v>1077</v>
      </c>
      <c r="D337">
        <v>2021</v>
      </c>
      <c r="E337" t="s">
        <v>920</v>
      </c>
      <c r="F337" t="s">
        <v>186</v>
      </c>
      <c r="H337">
        <v>555</v>
      </c>
      <c r="J337" t="s">
        <v>1277</v>
      </c>
      <c r="K337" t="s">
        <v>1821</v>
      </c>
      <c r="L337" t="s">
        <v>555</v>
      </c>
      <c r="M337" t="s">
        <v>1822</v>
      </c>
      <c r="N337" t="s">
        <v>1823</v>
      </c>
      <c r="O337" t="s">
        <v>455</v>
      </c>
      <c r="P337" t="s">
        <v>455</v>
      </c>
      <c r="Q337" t="s">
        <v>455</v>
      </c>
      <c r="R337" t="s">
        <v>455</v>
      </c>
      <c r="S337" t="s">
        <v>455</v>
      </c>
      <c r="T337" t="s">
        <v>455</v>
      </c>
      <c r="U337" t="s">
        <v>455</v>
      </c>
      <c r="V337" t="s">
        <v>455</v>
      </c>
      <c r="W337" t="s">
        <v>455</v>
      </c>
      <c r="X337" t="s">
        <v>455</v>
      </c>
      <c r="Y337" t="s">
        <v>455</v>
      </c>
      <c r="Z337" t="s">
        <v>455</v>
      </c>
      <c r="AA337" t="s">
        <v>455</v>
      </c>
      <c r="AB337" t="s">
        <v>455</v>
      </c>
      <c r="AC337" t="s">
        <v>455</v>
      </c>
      <c r="AD337" t="s">
        <v>455</v>
      </c>
      <c r="AE337" t="s">
        <v>455</v>
      </c>
      <c r="AF337" t="s">
        <v>455</v>
      </c>
      <c r="AG337" t="s">
        <v>455</v>
      </c>
      <c r="AH337" t="s">
        <v>455</v>
      </c>
      <c r="AI337" t="s">
        <v>455</v>
      </c>
      <c r="AJ337" t="s">
        <v>455</v>
      </c>
      <c r="AK337" t="s">
        <v>455</v>
      </c>
      <c r="AL337" t="s">
        <v>455</v>
      </c>
    </row>
    <row r="338" spans="1:38" x14ac:dyDescent="0.35">
      <c r="A338" s="1">
        <v>337</v>
      </c>
      <c r="B338" t="s">
        <v>1200</v>
      </c>
      <c r="C338" t="s">
        <v>1094</v>
      </c>
      <c r="D338">
        <v>2021</v>
      </c>
      <c r="E338" t="s">
        <v>920</v>
      </c>
      <c r="F338" t="s">
        <v>186</v>
      </c>
      <c r="H338">
        <v>565</v>
      </c>
      <c r="J338" t="s">
        <v>1278</v>
      </c>
      <c r="K338" t="s">
        <v>1824</v>
      </c>
      <c r="L338" t="s">
        <v>1825</v>
      </c>
      <c r="M338" t="s">
        <v>1826</v>
      </c>
      <c r="N338" t="s">
        <v>1827</v>
      </c>
      <c r="O338" t="s">
        <v>1828</v>
      </c>
      <c r="P338" t="s">
        <v>1829</v>
      </c>
      <c r="Q338" t="s">
        <v>1830</v>
      </c>
      <c r="R338" t="s">
        <v>1831</v>
      </c>
      <c r="S338" t="s">
        <v>1832</v>
      </c>
      <c r="T338" t="s">
        <v>1833</v>
      </c>
      <c r="U338" t="s">
        <v>1834</v>
      </c>
      <c r="V338" t="s">
        <v>1835</v>
      </c>
      <c r="W338" t="s">
        <v>1836</v>
      </c>
      <c r="X338" t="s">
        <v>1837</v>
      </c>
      <c r="Y338" t="s">
        <v>1838</v>
      </c>
      <c r="Z338" t="s">
        <v>455</v>
      </c>
      <c r="AA338" t="s">
        <v>455</v>
      </c>
      <c r="AB338" t="s">
        <v>455</v>
      </c>
      <c r="AC338" t="s">
        <v>455</v>
      </c>
      <c r="AD338" t="s">
        <v>455</v>
      </c>
      <c r="AE338" t="s">
        <v>455</v>
      </c>
      <c r="AF338" t="s">
        <v>455</v>
      </c>
      <c r="AG338" t="s">
        <v>455</v>
      </c>
      <c r="AH338" t="s">
        <v>455</v>
      </c>
      <c r="AI338" t="s">
        <v>455</v>
      </c>
      <c r="AJ338" t="s">
        <v>455</v>
      </c>
      <c r="AK338" t="s">
        <v>455</v>
      </c>
      <c r="AL338" t="s">
        <v>455</v>
      </c>
    </row>
    <row r="339" spans="1:38" x14ac:dyDescent="0.35">
      <c r="A339" s="1">
        <v>338</v>
      </c>
      <c r="B339" t="s">
        <v>1201</v>
      </c>
      <c r="C339" t="s">
        <v>1078</v>
      </c>
      <c r="D339">
        <v>2021</v>
      </c>
      <c r="E339" t="s">
        <v>920</v>
      </c>
      <c r="F339" t="s">
        <v>186</v>
      </c>
      <c r="H339">
        <v>568</v>
      </c>
      <c r="J339" t="s">
        <v>343</v>
      </c>
      <c r="K339" t="s">
        <v>1839</v>
      </c>
      <c r="L339" t="s">
        <v>505</v>
      </c>
      <c r="M339" t="s">
        <v>455</v>
      </c>
      <c r="N339" t="s">
        <v>455</v>
      </c>
      <c r="O339" t="s">
        <v>455</v>
      </c>
      <c r="P339" t="s">
        <v>455</v>
      </c>
      <c r="Q339" t="s">
        <v>455</v>
      </c>
      <c r="R339" t="s">
        <v>455</v>
      </c>
      <c r="S339" t="s">
        <v>455</v>
      </c>
      <c r="T339" t="s">
        <v>455</v>
      </c>
      <c r="U339" t="s">
        <v>455</v>
      </c>
      <c r="V339" t="s">
        <v>455</v>
      </c>
      <c r="W339" t="s">
        <v>455</v>
      </c>
      <c r="X339" t="s">
        <v>455</v>
      </c>
      <c r="Y339" t="s">
        <v>455</v>
      </c>
      <c r="Z339" t="s">
        <v>455</v>
      </c>
      <c r="AA339" t="s">
        <v>455</v>
      </c>
      <c r="AB339" t="s">
        <v>455</v>
      </c>
      <c r="AC339" t="s">
        <v>455</v>
      </c>
      <c r="AD339" t="s">
        <v>455</v>
      </c>
      <c r="AE339" t="s">
        <v>455</v>
      </c>
      <c r="AF339" t="s">
        <v>455</v>
      </c>
      <c r="AG339" t="s">
        <v>455</v>
      </c>
      <c r="AH339" t="s">
        <v>455</v>
      </c>
      <c r="AI339" t="s">
        <v>455</v>
      </c>
      <c r="AJ339" t="s">
        <v>455</v>
      </c>
      <c r="AK339" t="s">
        <v>455</v>
      </c>
      <c r="AL339" t="s">
        <v>455</v>
      </c>
    </row>
    <row r="340" spans="1:38" x14ac:dyDescent="0.35">
      <c r="A340" s="1">
        <v>339</v>
      </c>
      <c r="B340" t="s">
        <v>1202</v>
      </c>
      <c r="C340" t="s">
        <v>1079</v>
      </c>
      <c r="D340">
        <v>2021</v>
      </c>
      <c r="E340" t="s">
        <v>920</v>
      </c>
      <c r="F340" t="s">
        <v>186</v>
      </c>
      <c r="H340">
        <v>578</v>
      </c>
      <c r="J340" t="s">
        <v>561</v>
      </c>
      <c r="K340" t="s">
        <v>1665</v>
      </c>
      <c r="L340" t="s">
        <v>862</v>
      </c>
      <c r="M340" t="s">
        <v>515</v>
      </c>
      <c r="N340" t="s">
        <v>455</v>
      </c>
      <c r="O340" t="s">
        <v>455</v>
      </c>
      <c r="P340" t="s">
        <v>455</v>
      </c>
      <c r="Q340" t="s">
        <v>455</v>
      </c>
      <c r="R340" t="s">
        <v>455</v>
      </c>
      <c r="S340" t="s">
        <v>455</v>
      </c>
      <c r="T340" t="s">
        <v>455</v>
      </c>
      <c r="U340" t="s">
        <v>455</v>
      </c>
      <c r="V340" t="s">
        <v>455</v>
      </c>
      <c r="W340" t="s">
        <v>455</v>
      </c>
      <c r="X340" t="s">
        <v>455</v>
      </c>
      <c r="Y340" t="s">
        <v>455</v>
      </c>
      <c r="Z340" t="s">
        <v>455</v>
      </c>
      <c r="AA340" t="s">
        <v>455</v>
      </c>
      <c r="AB340" t="s">
        <v>455</v>
      </c>
      <c r="AC340" t="s">
        <v>455</v>
      </c>
      <c r="AD340" t="s">
        <v>455</v>
      </c>
      <c r="AE340" t="s">
        <v>455</v>
      </c>
      <c r="AF340" t="s">
        <v>455</v>
      </c>
      <c r="AG340" t="s">
        <v>455</v>
      </c>
      <c r="AH340" t="s">
        <v>455</v>
      </c>
      <c r="AI340" t="s">
        <v>455</v>
      </c>
      <c r="AJ340" t="s">
        <v>455</v>
      </c>
      <c r="AK340" t="s">
        <v>455</v>
      </c>
      <c r="AL340" t="s">
        <v>455</v>
      </c>
    </row>
    <row r="341" spans="1:38" x14ac:dyDescent="0.35">
      <c r="A341" s="1">
        <v>340</v>
      </c>
      <c r="B341" t="s">
        <v>1203</v>
      </c>
      <c r="C341" t="s">
        <v>1080</v>
      </c>
      <c r="D341">
        <v>2021</v>
      </c>
      <c r="E341" t="s">
        <v>920</v>
      </c>
      <c r="F341" t="s">
        <v>186</v>
      </c>
      <c r="H341">
        <v>585</v>
      </c>
      <c r="J341" t="s">
        <v>1279</v>
      </c>
      <c r="K341" t="s">
        <v>1822</v>
      </c>
      <c r="L341" t="s">
        <v>556</v>
      </c>
      <c r="M341" t="s">
        <v>455</v>
      </c>
      <c r="N341" t="s">
        <v>455</v>
      </c>
      <c r="O341" t="s">
        <v>455</v>
      </c>
      <c r="P341" t="s">
        <v>455</v>
      </c>
      <c r="Q341" t="s">
        <v>455</v>
      </c>
      <c r="R341" t="s">
        <v>455</v>
      </c>
      <c r="S341" t="s">
        <v>455</v>
      </c>
      <c r="T341" t="s">
        <v>455</v>
      </c>
      <c r="U341" t="s">
        <v>455</v>
      </c>
      <c r="V341" t="s">
        <v>455</v>
      </c>
      <c r="W341" t="s">
        <v>455</v>
      </c>
      <c r="X341" t="s">
        <v>455</v>
      </c>
      <c r="Y341" t="s">
        <v>455</v>
      </c>
      <c r="Z341" t="s">
        <v>455</v>
      </c>
      <c r="AA341" t="s">
        <v>455</v>
      </c>
      <c r="AB341" t="s">
        <v>455</v>
      </c>
      <c r="AC341" t="s">
        <v>455</v>
      </c>
      <c r="AD341" t="s">
        <v>455</v>
      </c>
      <c r="AE341" t="s">
        <v>455</v>
      </c>
      <c r="AF341" t="s">
        <v>455</v>
      </c>
      <c r="AG341" t="s">
        <v>455</v>
      </c>
      <c r="AH341" t="s">
        <v>455</v>
      </c>
      <c r="AI341" t="s">
        <v>455</v>
      </c>
      <c r="AJ341" t="s">
        <v>455</v>
      </c>
      <c r="AK341" t="s">
        <v>455</v>
      </c>
      <c r="AL341" t="s">
        <v>455</v>
      </c>
    </row>
    <row r="342" spans="1:38" x14ac:dyDescent="0.35">
      <c r="A342" s="1">
        <v>341</v>
      </c>
      <c r="B342" t="s">
        <v>1204</v>
      </c>
      <c r="C342" t="s">
        <v>1095</v>
      </c>
      <c r="D342">
        <v>2021</v>
      </c>
      <c r="E342" t="s">
        <v>920</v>
      </c>
      <c r="F342" t="s">
        <v>186</v>
      </c>
      <c r="H342">
        <v>594</v>
      </c>
      <c r="J342" t="s">
        <v>1280</v>
      </c>
      <c r="K342" t="s">
        <v>602</v>
      </c>
      <c r="L342" t="s">
        <v>644</v>
      </c>
      <c r="M342" t="s">
        <v>847</v>
      </c>
      <c r="N342" t="s">
        <v>848</v>
      </c>
      <c r="O342" t="s">
        <v>849</v>
      </c>
      <c r="P342" t="s">
        <v>1840</v>
      </c>
      <c r="Q342" t="s">
        <v>1841</v>
      </c>
      <c r="R342" t="s">
        <v>1842</v>
      </c>
      <c r="S342" t="s">
        <v>1843</v>
      </c>
      <c r="T342" t="s">
        <v>600</v>
      </c>
      <c r="U342" t="s">
        <v>691</v>
      </c>
      <c r="V342" t="s">
        <v>1844</v>
      </c>
      <c r="W342" t="s">
        <v>455</v>
      </c>
      <c r="X342" t="s">
        <v>455</v>
      </c>
      <c r="Y342" t="s">
        <v>455</v>
      </c>
      <c r="Z342" t="s">
        <v>455</v>
      </c>
      <c r="AA342" t="s">
        <v>455</v>
      </c>
      <c r="AB342" t="s">
        <v>455</v>
      </c>
      <c r="AC342" t="s">
        <v>455</v>
      </c>
      <c r="AD342" t="s">
        <v>455</v>
      </c>
      <c r="AE342" t="s">
        <v>455</v>
      </c>
      <c r="AF342" t="s">
        <v>455</v>
      </c>
      <c r="AG342" t="s">
        <v>455</v>
      </c>
      <c r="AH342" t="s">
        <v>455</v>
      </c>
      <c r="AI342" t="s">
        <v>455</v>
      </c>
      <c r="AJ342" t="s">
        <v>455</v>
      </c>
      <c r="AK342" t="s">
        <v>455</v>
      </c>
      <c r="AL342" t="s">
        <v>455</v>
      </c>
    </row>
    <row r="343" spans="1:38" x14ac:dyDescent="0.35">
      <c r="A343" s="1">
        <v>342</v>
      </c>
      <c r="B343" t="s">
        <v>1205</v>
      </c>
      <c r="C343" t="s">
        <v>1081</v>
      </c>
      <c r="D343">
        <v>2021</v>
      </c>
      <c r="E343" t="s">
        <v>920</v>
      </c>
      <c r="F343" t="s">
        <v>186</v>
      </c>
      <c r="H343">
        <v>603</v>
      </c>
      <c r="J343" t="s">
        <v>1281</v>
      </c>
      <c r="K343" t="s">
        <v>1612</v>
      </c>
      <c r="L343" t="s">
        <v>455</v>
      </c>
      <c r="M343" t="s">
        <v>455</v>
      </c>
      <c r="N343" t="s">
        <v>455</v>
      </c>
      <c r="O343" t="s">
        <v>455</v>
      </c>
      <c r="P343" t="s">
        <v>455</v>
      </c>
      <c r="Q343" t="s">
        <v>455</v>
      </c>
      <c r="R343" t="s">
        <v>455</v>
      </c>
      <c r="S343" t="s">
        <v>455</v>
      </c>
      <c r="T343" t="s">
        <v>455</v>
      </c>
      <c r="U343" t="s">
        <v>455</v>
      </c>
      <c r="V343" t="s">
        <v>455</v>
      </c>
      <c r="W343" t="s">
        <v>455</v>
      </c>
      <c r="X343" t="s">
        <v>455</v>
      </c>
      <c r="Y343" t="s">
        <v>455</v>
      </c>
      <c r="Z343" t="s">
        <v>455</v>
      </c>
      <c r="AA343" t="s">
        <v>455</v>
      </c>
      <c r="AB343" t="s">
        <v>455</v>
      </c>
      <c r="AC343" t="s">
        <v>455</v>
      </c>
      <c r="AD343" t="s">
        <v>455</v>
      </c>
      <c r="AE343" t="s">
        <v>455</v>
      </c>
      <c r="AF343" t="s">
        <v>455</v>
      </c>
      <c r="AG343" t="s">
        <v>455</v>
      </c>
      <c r="AH343" t="s">
        <v>455</v>
      </c>
      <c r="AI343" t="s">
        <v>455</v>
      </c>
      <c r="AJ343" t="s">
        <v>455</v>
      </c>
      <c r="AK343" t="s">
        <v>455</v>
      </c>
      <c r="AL343" t="s">
        <v>455</v>
      </c>
    </row>
    <row r="344" spans="1:38" x14ac:dyDescent="0.35">
      <c r="A344" s="1">
        <v>343</v>
      </c>
      <c r="B344" t="s">
        <v>1206</v>
      </c>
      <c r="C344" t="s">
        <v>1082</v>
      </c>
      <c r="D344">
        <v>2021</v>
      </c>
      <c r="E344" t="s">
        <v>920</v>
      </c>
      <c r="F344" t="s">
        <v>186</v>
      </c>
      <c r="H344">
        <v>606</v>
      </c>
      <c r="J344" t="s">
        <v>479</v>
      </c>
      <c r="K344" t="s">
        <v>1705</v>
      </c>
      <c r="L344" t="s">
        <v>455</v>
      </c>
      <c r="M344" t="s">
        <v>455</v>
      </c>
      <c r="N344" t="s">
        <v>455</v>
      </c>
      <c r="O344" t="s">
        <v>455</v>
      </c>
      <c r="P344" t="s">
        <v>455</v>
      </c>
      <c r="Q344" t="s">
        <v>455</v>
      </c>
      <c r="R344" t="s">
        <v>455</v>
      </c>
      <c r="S344" t="s">
        <v>455</v>
      </c>
      <c r="T344" t="s">
        <v>455</v>
      </c>
      <c r="U344" t="s">
        <v>455</v>
      </c>
      <c r="V344" t="s">
        <v>455</v>
      </c>
      <c r="W344" t="s">
        <v>455</v>
      </c>
      <c r="X344" t="s">
        <v>455</v>
      </c>
      <c r="Y344" t="s">
        <v>455</v>
      </c>
      <c r="Z344" t="s">
        <v>455</v>
      </c>
      <c r="AA344" t="s">
        <v>455</v>
      </c>
      <c r="AB344" t="s">
        <v>455</v>
      </c>
      <c r="AC344" t="s">
        <v>455</v>
      </c>
      <c r="AD344" t="s">
        <v>455</v>
      </c>
      <c r="AE344" t="s">
        <v>455</v>
      </c>
      <c r="AF344" t="s">
        <v>455</v>
      </c>
      <c r="AG344" t="s">
        <v>455</v>
      </c>
      <c r="AH344" t="s">
        <v>455</v>
      </c>
      <c r="AI344" t="s">
        <v>455</v>
      </c>
      <c r="AJ344" t="s">
        <v>455</v>
      </c>
      <c r="AK344" t="s">
        <v>455</v>
      </c>
      <c r="AL344" t="s">
        <v>455</v>
      </c>
    </row>
    <row r="345" spans="1:38" x14ac:dyDescent="0.35">
      <c r="A345" s="1">
        <v>344</v>
      </c>
      <c r="B345" t="s">
        <v>1207</v>
      </c>
      <c r="C345" t="s">
        <v>678</v>
      </c>
      <c r="D345">
        <v>2021</v>
      </c>
      <c r="E345" t="s">
        <v>920</v>
      </c>
      <c r="F345" t="s">
        <v>186</v>
      </c>
      <c r="H345">
        <v>615</v>
      </c>
      <c r="J345" t="s">
        <v>678</v>
      </c>
      <c r="K345" t="s">
        <v>455</v>
      </c>
      <c r="L345" t="s">
        <v>455</v>
      </c>
      <c r="M345" t="s">
        <v>455</v>
      </c>
      <c r="N345" t="s">
        <v>455</v>
      </c>
      <c r="O345" t="s">
        <v>455</v>
      </c>
      <c r="P345" t="s">
        <v>455</v>
      </c>
      <c r="Q345" t="s">
        <v>455</v>
      </c>
      <c r="R345" t="s">
        <v>455</v>
      </c>
      <c r="S345" t="s">
        <v>455</v>
      </c>
      <c r="T345" t="s">
        <v>455</v>
      </c>
      <c r="U345" t="s">
        <v>455</v>
      </c>
      <c r="V345" t="s">
        <v>455</v>
      </c>
      <c r="W345" t="s">
        <v>455</v>
      </c>
      <c r="X345" t="s">
        <v>455</v>
      </c>
      <c r="Y345" t="s">
        <v>455</v>
      </c>
      <c r="Z345" t="s">
        <v>455</v>
      </c>
      <c r="AA345" t="s">
        <v>455</v>
      </c>
      <c r="AB345" t="s">
        <v>455</v>
      </c>
      <c r="AC345" t="s">
        <v>455</v>
      </c>
      <c r="AD345" t="s">
        <v>455</v>
      </c>
      <c r="AE345" t="s">
        <v>455</v>
      </c>
      <c r="AF345" t="s">
        <v>455</v>
      </c>
      <c r="AG345" t="s">
        <v>455</v>
      </c>
      <c r="AH345" t="s">
        <v>455</v>
      </c>
      <c r="AI345" t="s">
        <v>455</v>
      </c>
      <c r="AJ345" t="s">
        <v>455</v>
      </c>
      <c r="AK345" t="s">
        <v>455</v>
      </c>
      <c r="AL345" t="s">
        <v>455</v>
      </c>
    </row>
    <row r="346" spans="1:38" x14ac:dyDescent="0.35">
      <c r="A346" s="1">
        <v>345</v>
      </c>
      <c r="B346" t="s">
        <v>1208</v>
      </c>
      <c r="C346" t="s">
        <v>1083</v>
      </c>
      <c r="D346">
        <v>2021</v>
      </c>
      <c r="E346" t="s">
        <v>920</v>
      </c>
      <c r="F346" t="s">
        <v>186</v>
      </c>
      <c r="H346">
        <v>618</v>
      </c>
      <c r="J346" t="s">
        <v>568</v>
      </c>
      <c r="K346" t="s">
        <v>1259</v>
      </c>
      <c r="L346" t="s">
        <v>1845</v>
      </c>
      <c r="M346" t="s">
        <v>1263</v>
      </c>
      <c r="N346" t="s">
        <v>390</v>
      </c>
      <c r="O346" t="s">
        <v>383</v>
      </c>
      <c r="P346" t="s">
        <v>569</v>
      </c>
      <c r="Q346" t="s">
        <v>455</v>
      </c>
      <c r="R346" t="s">
        <v>455</v>
      </c>
      <c r="S346" t="s">
        <v>455</v>
      </c>
      <c r="T346" t="s">
        <v>455</v>
      </c>
      <c r="U346" t="s">
        <v>455</v>
      </c>
      <c r="V346" t="s">
        <v>455</v>
      </c>
      <c r="W346" t="s">
        <v>455</v>
      </c>
      <c r="X346" t="s">
        <v>455</v>
      </c>
      <c r="Y346" t="s">
        <v>455</v>
      </c>
      <c r="Z346" t="s">
        <v>455</v>
      </c>
      <c r="AA346" t="s">
        <v>455</v>
      </c>
      <c r="AB346" t="s">
        <v>455</v>
      </c>
      <c r="AC346" t="s">
        <v>455</v>
      </c>
      <c r="AD346" t="s">
        <v>455</v>
      </c>
      <c r="AE346" t="s">
        <v>455</v>
      </c>
      <c r="AF346" t="s">
        <v>455</v>
      </c>
      <c r="AG346" t="s">
        <v>455</v>
      </c>
      <c r="AH346" t="s">
        <v>455</v>
      </c>
      <c r="AI346" t="s">
        <v>455</v>
      </c>
      <c r="AJ346" t="s">
        <v>455</v>
      </c>
      <c r="AK346" t="s">
        <v>455</v>
      </c>
      <c r="AL346" t="s">
        <v>455</v>
      </c>
    </row>
    <row r="347" spans="1:38" x14ac:dyDescent="0.35">
      <c r="A347" s="1">
        <v>346</v>
      </c>
      <c r="B347" t="s">
        <v>1209</v>
      </c>
      <c r="C347" t="s">
        <v>1084</v>
      </c>
      <c r="D347">
        <v>2021</v>
      </c>
      <c r="E347" t="s">
        <v>920</v>
      </c>
      <c r="F347" t="s">
        <v>186</v>
      </c>
      <c r="H347">
        <v>627</v>
      </c>
      <c r="J347" t="s">
        <v>341</v>
      </c>
      <c r="K347" t="s">
        <v>1846</v>
      </c>
      <c r="L347" t="s">
        <v>1847</v>
      </c>
      <c r="M347" t="s">
        <v>1848</v>
      </c>
      <c r="N347" t="s">
        <v>502</v>
      </c>
      <c r="O347" t="s">
        <v>455</v>
      </c>
      <c r="P347" t="s">
        <v>455</v>
      </c>
      <c r="Q347" t="s">
        <v>455</v>
      </c>
      <c r="R347" t="s">
        <v>455</v>
      </c>
      <c r="S347" t="s">
        <v>455</v>
      </c>
      <c r="T347" t="s">
        <v>455</v>
      </c>
      <c r="U347" t="s">
        <v>455</v>
      </c>
      <c r="V347" t="s">
        <v>455</v>
      </c>
      <c r="W347" t="s">
        <v>455</v>
      </c>
      <c r="X347" t="s">
        <v>455</v>
      </c>
      <c r="Y347" t="s">
        <v>455</v>
      </c>
      <c r="Z347" t="s">
        <v>455</v>
      </c>
      <c r="AA347" t="s">
        <v>455</v>
      </c>
      <c r="AB347" t="s">
        <v>455</v>
      </c>
      <c r="AC347" t="s">
        <v>455</v>
      </c>
      <c r="AD347" t="s">
        <v>455</v>
      </c>
      <c r="AE347" t="s">
        <v>455</v>
      </c>
      <c r="AF347" t="s">
        <v>455</v>
      </c>
      <c r="AG347" t="s">
        <v>455</v>
      </c>
      <c r="AH347" t="s">
        <v>455</v>
      </c>
      <c r="AI347" t="s">
        <v>455</v>
      </c>
      <c r="AJ347" t="s">
        <v>455</v>
      </c>
      <c r="AK347" t="s">
        <v>455</v>
      </c>
      <c r="AL347" t="s">
        <v>455</v>
      </c>
    </row>
    <row r="348" spans="1:38" x14ac:dyDescent="0.35">
      <c r="A348" s="1">
        <v>347</v>
      </c>
      <c r="B348" t="s">
        <v>1210</v>
      </c>
      <c r="C348" t="s">
        <v>1085</v>
      </c>
      <c r="D348">
        <v>2021</v>
      </c>
      <c r="E348" t="s">
        <v>920</v>
      </c>
      <c r="F348" t="s">
        <v>186</v>
      </c>
      <c r="H348">
        <v>630</v>
      </c>
      <c r="J348" t="s">
        <v>1282</v>
      </c>
      <c r="K348" t="s">
        <v>1849</v>
      </c>
      <c r="L348" t="s">
        <v>1796</v>
      </c>
      <c r="M348" t="s">
        <v>455</v>
      </c>
      <c r="N348" t="s">
        <v>455</v>
      </c>
      <c r="O348" t="s">
        <v>455</v>
      </c>
      <c r="P348" t="s">
        <v>455</v>
      </c>
      <c r="Q348" t="s">
        <v>455</v>
      </c>
      <c r="R348" t="s">
        <v>455</v>
      </c>
      <c r="S348" t="s">
        <v>455</v>
      </c>
      <c r="T348" t="s">
        <v>455</v>
      </c>
      <c r="U348" t="s">
        <v>455</v>
      </c>
      <c r="V348" t="s">
        <v>455</v>
      </c>
      <c r="W348" t="s">
        <v>455</v>
      </c>
      <c r="X348" t="s">
        <v>455</v>
      </c>
      <c r="Y348" t="s">
        <v>455</v>
      </c>
      <c r="Z348" t="s">
        <v>455</v>
      </c>
      <c r="AA348" t="s">
        <v>455</v>
      </c>
      <c r="AB348" t="s">
        <v>455</v>
      </c>
      <c r="AC348" t="s">
        <v>455</v>
      </c>
      <c r="AD348" t="s">
        <v>455</v>
      </c>
      <c r="AE348" t="s">
        <v>455</v>
      </c>
      <c r="AF348" t="s">
        <v>455</v>
      </c>
      <c r="AG348" t="s">
        <v>455</v>
      </c>
      <c r="AH348" t="s">
        <v>455</v>
      </c>
      <c r="AI348" t="s">
        <v>455</v>
      </c>
      <c r="AJ348" t="s">
        <v>455</v>
      </c>
      <c r="AK348" t="s">
        <v>455</v>
      </c>
      <c r="AL348" t="s">
        <v>455</v>
      </c>
    </row>
    <row r="349" spans="1:38" x14ac:dyDescent="0.35">
      <c r="A349" s="1">
        <v>348</v>
      </c>
      <c r="B349" t="s">
        <v>1211</v>
      </c>
      <c r="C349" t="s">
        <v>1086</v>
      </c>
      <c r="D349">
        <v>2021</v>
      </c>
      <c r="E349" t="s">
        <v>920</v>
      </c>
      <c r="F349" t="s">
        <v>186</v>
      </c>
      <c r="H349">
        <v>639</v>
      </c>
      <c r="J349" t="s">
        <v>1283</v>
      </c>
      <c r="K349" t="s">
        <v>1850</v>
      </c>
      <c r="L349" t="s">
        <v>455</v>
      </c>
      <c r="M349" t="s">
        <v>455</v>
      </c>
      <c r="N349" t="s">
        <v>455</v>
      </c>
      <c r="O349" t="s">
        <v>455</v>
      </c>
      <c r="P349" t="s">
        <v>455</v>
      </c>
      <c r="Q349" t="s">
        <v>455</v>
      </c>
      <c r="R349" t="s">
        <v>455</v>
      </c>
      <c r="S349" t="s">
        <v>455</v>
      </c>
      <c r="T349" t="s">
        <v>455</v>
      </c>
      <c r="U349" t="s">
        <v>455</v>
      </c>
      <c r="V349" t="s">
        <v>455</v>
      </c>
      <c r="W349" t="s">
        <v>455</v>
      </c>
      <c r="X349" t="s">
        <v>455</v>
      </c>
      <c r="Y349" t="s">
        <v>455</v>
      </c>
      <c r="Z349" t="s">
        <v>455</v>
      </c>
      <c r="AA349" t="s">
        <v>455</v>
      </c>
      <c r="AB349" t="s">
        <v>455</v>
      </c>
      <c r="AC349" t="s">
        <v>455</v>
      </c>
      <c r="AD349" t="s">
        <v>455</v>
      </c>
      <c r="AE349" t="s">
        <v>455</v>
      </c>
      <c r="AF349" t="s">
        <v>455</v>
      </c>
      <c r="AG349" t="s">
        <v>455</v>
      </c>
      <c r="AH349" t="s">
        <v>455</v>
      </c>
      <c r="AI349" t="s">
        <v>455</v>
      </c>
      <c r="AJ349" t="s">
        <v>455</v>
      </c>
      <c r="AK349" t="s">
        <v>455</v>
      </c>
      <c r="AL349" t="s">
        <v>455</v>
      </c>
    </row>
    <row r="350" spans="1:38" x14ac:dyDescent="0.35">
      <c r="A350" s="1">
        <v>349</v>
      </c>
      <c r="B350" t="s">
        <v>1212</v>
      </c>
      <c r="C350" t="s">
        <v>1087</v>
      </c>
      <c r="D350">
        <v>2021</v>
      </c>
      <c r="E350" t="s">
        <v>920</v>
      </c>
      <c r="F350" t="s">
        <v>186</v>
      </c>
      <c r="H350">
        <v>649</v>
      </c>
      <c r="J350" t="s">
        <v>1284</v>
      </c>
      <c r="K350" t="s">
        <v>619</v>
      </c>
      <c r="L350" t="s">
        <v>1851</v>
      </c>
      <c r="M350" t="s">
        <v>455</v>
      </c>
      <c r="N350" t="s">
        <v>455</v>
      </c>
      <c r="O350" t="s">
        <v>455</v>
      </c>
      <c r="P350" t="s">
        <v>455</v>
      </c>
      <c r="Q350" t="s">
        <v>455</v>
      </c>
      <c r="R350" t="s">
        <v>455</v>
      </c>
      <c r="S350" t="s">
        <v>455</v>
      </c>
      <c r="T350" t="s">
        <v>455</v>
      </c>
      <c r="U350" t="s">
        <v>455</v>
      </c>
      <c r="V350" t="s">
        <v>455</v>
      </c>
      <c r="W350" t="s">
        <v>455</v>
      </c>
      <c r="X350" t="s">
        <v>455</v>
      </c>
      <c r="Y350" t="s">
        <v>455</v>
      </c>
      <c r="Z350" t="s">
        <v>455</v>
      </c>
      <c r="AA350" t="s">
        <v>455</v>
      </c>
      <c r="AB350" t="s">
        <v>455</v>
      </c>
      <c r="AC350" t="s">
        <v>455</v>
      </c>
      <c r="AD350" t="s">
        <v>455</v>
      </c>
      <c r="AE350" t="s">
        <v>455</v>
      </c>
      <c r="AF350" t="s">
        <v>455</v>
      </c>
      <c r="AG350" t="s">
        <v>455</v>
      </c>
      <c r="AH350" t="s">
        <v>455</v>
      </c>
      <c r="AI350" t="s">
        <v>455</v>
      </c>
      <c r="AJ350" t="s">
        <v>455</v>
      </c>
      <c r="AK350" t="s">
        <v>455</v>
      </c>
      <c r="AL350" t="s">
        <v>455</v>
      </c>
    </row>
    <row r="351" spans="1:38" x14ac:dyDescent="0.35">
      <c r="A351" s="1">
        <v>350</v>
      </c>
      <c r="B351" t="s">
        <v>1213</v>
      </c>
      <c r="C351" t="s">
        <v>1088</v>
      </c>
      <c r="D351">
        <v>2021</v>
      </c>
      <c r="E351" t="s">
        <v>920</v>
      </c>
      <c r="F351" t="s">
        <v>186</v>
      </c>
      <c r="H351">
        <v>657</v>
      </c>
      <c r="J351" t="s">
        <v>1088</v>
      </c>
      <c r="K351" t="s">
        <v>455</v>
      </c>
      <c r="L351" t="s">
        <v>455</v>
      </c>
      <c r="M351" t="s">
        <v>455</v>
      </c>
      <c r="N351" t="s">
        <v>455</v>
      </c>
      <c r="O351" t="s">
        <v>455</v>
      </c>
      <c r="P351" t="s">
        <v>455</v>
      </c>
      <c r="Q351" t="s">
        <v>455</v>
      </c>
      <c r="R351" t="s">
        <v>455</v>
      </c>
      <c r="S351" t="s">
        <v>455</v>
      </c>
      <c r="T351" t="s">
        <v>455</v>
      </c>
      <c r="U351" t="s">
        <v>455</v>
      </c>
      <c r="V351" t="s">
        <v>455</v>
      </c>
      <c r="W351" t="s">
        <v>455</v>
      </c>
      <c r="X351" t="s">
        <v>455</v>
      </c>
      <c r="Y351" t="s">
        <v>455</v>
      </c>
      <c r="Z351" t="s">
        <v>455</v>
      </c>
      <c r="AA351" t="s">
        <v>455</v>
      </c>
      <c r="AB351" t="s">
        <v>455</v>
      </c>
      <c r="AC351" t="s">
        <v>455</v>
      </c>
      <c r="AD351" t="s">
        <v>455</v>
      </c>
      <c r="AE351" t="s">
        <v>455</v>
      </c>
      <c r="AF351" t="s">
        <v>455</v>
      </c>
      <c r="AG351" t="s">
        <v>455</v>
      </c>
      <c r="AH351" t="s">
        <v>455</v>
      </c>
      <c r="AI351" t="s">
        <v>455</v>
      </c>
      <c r="AJ351" t="s">
        <v>455</v>
      </c>
      <c r="AK351" t="s">
        <v>455</v>
      </c>
      <c r="AL351" t="s">
        <v>455</v>
      </c>
    </row>
    <row r="352" spans="1:38" x14ac:dyDescent="0.35">
      <c r="A352" s="1">
        <v>351</v>
      </c>
      <c r="B352" t="s">
        <v>1214</v>
      </c>
      <c r="C352" t="s">
        <v>1089</v>
      </c>
      <c r="D352">
        <v>2021</v>
      </c>
      <c r="E352" t="s">
        <v>920</v>
      </c>
      <c r="F352" t="s">
        <v>186</v>
      </c>
      <c r="H352">
        <v>666</v>
      </c>
      <c r="J352" t="s">
        <v>1089</v>
      </c>
      <c r="K352" t="s">
        <v>455</v>
      </c>
      <c r="L352" t="s">
        <v>455</v>
      </c>
      <c r="M352" t="s">
        <v>455</v>
      </c>
      <c r="N352" t="s">
        <v>455</v>
      </c>
      <c r="O352" t="s">
        <v>455</v>
      </c>
      <c r="P352" t="s">
        <v>455</v>
      </c>
      <c r="Q352" t="s">
        <v>455</v>
      </c>
      <c r="R352" t="s">
        <v>455</v>
      </c>
      <c r="S352" t="s">
        <v>455</v>
      </c>
      <c r="T352" t="s">
        <v>455</v>
      </c>
      <c r="U352" t="s">
        <v>455</v>
      </c>
      <c r="V352" t="s">
        <v>455</v>
      </c>
      <c r="W352" t="s">
        <v>455</v>
      </c>
      <c r="X352" t="s">
        <v>455</v>
      </c>
      <c r="Y352" t="s">
        <v>455</v>
      </c>
      <c r="Z352" t="s">
        <v>455</v>
      </c>
      <c r="AA352" t="s">
        <v>455</v>
      </c>
      <c r="AB352" t="s">
        <v>455</v>
      </c>
      <c r="AC352" t="s">
        <v>455</v>
      </c>
      <c r="AD352" t="s">
        <v>455</v>
      </c>
      <c r="AE352" t="s">
        <v>455</v>
      </c>
      <c r="AF352" t="s">
        <v>455</v>
      </c>
      <c r="AG352" t="s">
        <v>455</v>
      </c>
      <c r="AH352" t="s">
        <v>455</v>
      </c>
      <c r="AI352" t="s">
        <v>455</v>
      </c>
      <c r="AJ352" t="s">
        <v>455</v>
      </c>
      <c r="AK352" t="s">
        <v>455</v>
      </c>
      <c r="AL352" t="s">
        <v>455</v>
      </c>
    </row>
    <row r="353" spans="1:20" x14ac:dyDescent="0.35">
      <c r="A353" s="1">
        <v>352</v>
      </c>
      <c r="B353" t="s">
        <v>1401</v>
      </c>
      <c r="C353" t="s">
        <v>1302</v>
      </c>
      <c r="D353">
        <v>2020</v>
      </c>
      <c r="E353" t="s">
        <v>1300</v>
      </c>
      <c r="F353" t="s">
        <v>1217</v>
      </c>
      <c r="H353">
        <v>1</v>
      </c>
      <c r="J353" t="s">
        <v>1302</v>
      </c>
    </row>
    <row r="354" spans="1:20" x14ac:dyDescent="0.35">
      <c r="A354" s="1">
        <v>353</v>
      </c>
      <c r="B354" t="s">
        <v>1402</v>
      </c>
      <c r="C354" t="s">
        <v>1303</v>
      </c>
      <c r="D354">
        <v>2020</v>
      </c>
      <c r="E354" t="s">
        <v>1300</v>
      </c>
      <c r="F354" t="s">
        <v>1217</v>
      </c>
      <c r="H354">
        <v>3</v>
      </c>
      <c r="J354" t="s">
        <v>1303</v>
      </c>
    </row>
    <row r="355" spans="1:20" x14ac:dyDescent="0.35">
      <c r="A355" s="1">
        <v>354</v>
      </c>
      <c r="B355" t="s">
        <v>1403</v>
      </c>
      <c r="C355" t="s">
        <v>565</v>
      </c>
      <c r="D355">
        <v>2020</v>
      </c>
      <c r="E355" t="s">
        <v>1300</v>
      </c>
      <c r="F355" t="s">
        <v>1217</v>
      </c>
      <c r="H355">
        <v>5</v>
      </c>
      <c r="J355" t="s">
        <v>565</v>
      </c>
    </row>
    <row r="356" spans="1:20" x14ac:dyDescent="0.35">
      <c r="A356" s="1">
        <v>355</v>
      </c>
      <c r="B356" t="s">
        <v>1404</v>
      </c>
      <c r="C356" t="s">
        <v>1304</v>
      </c>
      <c r="D356">
        <v>2020</v>
      </c>
      <c r="E356" t="s">
        <v>1300</v>
      </c>
      <c r="F356" t="s">
        <v>1217</v>
      </c>
      <c r="H356">
        <v>7</v>
      </c>
      <c r="J356" t="s">
        <v>1304</v>
      </c>
    </row>
    <row r="357" spans="1:20" x14ac:dyDescent="0.35">
      <c r="A357" s="1">
        <v>356</v>
      </c>
      <c r="B357" t="s">
        <v>1405</v>
      </c>
      <c r="C357" t="s">
        <v>1305</v>
      </c>
      <c r="D357">
        <v>2020</v>
      </c>
      <c r="E357" t="s">
        <v>1300</v>
      </c>
      <c r="F357" t="s">
        <v>1217</v>
      </c>
      <c r="H357">
        <v>9</v>
      </c>
      <c r="J357" t="s">
        <v>1305</v>
      </c>
    </row>
    <row r="358" spans="1:20" x14ac:dyDescent="0.35">
      <c r="A358" s="1">
        <v>357</v>
      </c>
      <c r="B358" t="s">
        <v>1406</v>
      </c>
      <c r="C358" t="s">
        <v>821</v>
      </c>
      <c r="D358">
        <v>2020</v>
      </c>
      <c r="E358" t="s">
        <v>1300</v>
      </c>
      <c r="F358" t="s">
        <v>1217</v>
      </c>
      <c r="H358">
        <v>11</v>
      </c>
      <c r="J358" t="s">
        <v>821</v>
      </c>
    </row>
    <row r="359" spans="1:20" x14ac:dyDescent="0.35">
      <c r="A359" s="1">
        <v>358</v>
      </c>
      <c r="B359" t="s">
        <v>1407</v>
      </c>
      <c r="C359" t="s">
        <v>1306</v>
      </c>
      <c r="D359">
        <v>2020</v>
      </c>
      <c r="E359" t="s">
        <v>1300</v>
      </c>
      <c r="F359" t="s">
        <v>1852</v>
      </c>
      <c r="H359">
        <v>13</v>
      </c>
      <c r="J359" t="s">
        <v>1306</v>
      </c>
    </row>
    <row r="360" spans="1:20" x14ac:dyDescent="0.35">
      <c r="A360" s="1">
        <v>359</v>
      </c>
      <c r="B360" t="s">
        <v>1408</v>
      </c>
      <c r="C360" t="s">
        <v>1307</v>
      </c>
      <c r="D360">
        <v>2020</v>
      </c>
      <c r="E360" t="s">
        <v>1300</v>
      </c>
      <c r="F360" t="s">
        <v>1852</v>
      </c>
      <c r="H360">
        <v>16</v>
      </c>
      <c r="J360" t="s">
        <v>1562</v>
      </c>
      <c r="K360" t="s">
        <v>1563</v>
      </c>
    </row>
    <row r="361" spans="1:20" x14ac:dyDescent="0.35">
      <c r="A361" s="1">
        <v>360</v>
      </c>
      <c r="B361" t="s">
        <v>1409</v>
      </c>
      <c r="C361" t="s">
        <v>1397</v>
      </c>
      <c r="D361">
        <v>2020</v>
      </c>
      <c r="E361" t="s">
        <v>1300</v>
      </c>
      <c r="F361" t="s">
        <v>1852</v>
      </c>
      <c r="H361">
        <v>25</v>
      </c>
      <c r="J361" t="s">
        <v>571</v>
      </c>
      <c r="K361" t="s">
        <v>1564</v>
      </c>
      <c r="L361" t="s">
        <v>1565</v>
      </c>
      <c r="M361" t="s">
        <v>1566</v>
      </c>
      <c r="N361" t="s">
        <v>1567</v>
      </c>
      <c r="O361" t="s">
        <v>1568</v>
      </c>
      <c r="P361" t="s">
        <v>1569</v>
      </c>
      <c r="Q361" t="s">
        <v>1570</v>
      </c>
      <c r="R361" t="s">
        <v>1571</v>
      </c>
      <c r="S361" t="s">
        <v>1572</v>
      </c>
      <c r="T361" t="s">
        <v>1573</v>
      </c>
    </row>
    <row r="362" spans="1:20" x14ac:dyDescent="0.35">
      <c r="A362" s="1">
        <v>361</v>
      </c>
      <c r="B362" t="s">
        <v>1410</v>
      </c>
      <c r="C362" t="s">
        <v>1308</v>
      </c>
      <c r="D362">
        <v>2020</v>
      </c>
      <c r="E362" t="s">
        <v>1300</v>
      </c>
      <c r="F362" t="s">
        <v>1852</v>
      </c>
      <c r="H362">
        <v>27</v>
      </c>
      <c r="J362" t="s">
        <v>1517</v>
      </c>
      <c r="K362" t="s">
        <v>1574</v>
      </c>
      <c r="L362" t="s">
        <v>1575</v>
      </c>
    </row>
    <row r="363" spans="1:20" x14ac:dyDescent="0.35">
      <c r="A363" s="1">
        <v>362</v>
      </c>
      <c r="B363" t="s">
        <v>1411</v>
      </c>
      <c r="C363" t="s">
        <v>1309</v>
      </c>
      <c r="D363">
        <v>2020</v>
      </c>
      <c r="E363" t="s">
        <v>1300</v>
      </c>
      <c r="F363" t="s">
        <v>1852</v>
      </c>
      <c r="H363">
        <v>36</v>
      </c>
      <c r="J363" t="s">
        <v>1518</v>
      </c>
      <c r="K363" t="s">
        <v>1576</v>
      </c>
      <c r="L363" t="s">
        <v>1577</v>
      </c>
    </row>
    <row r="364" spans="1:20" x14ac:dyDescent="0.35">
      <c r="A364" s="1">
        <v>363</v>
      </c>
      <c r="B364" t="s">
        <v>1412</v>
      </c>
      <c r="C364" t="s">
        <v>1310</v>
      </c>
      <c r="D364">
        <v>2020</v>
      </c>
      <c r="E364" t="s">
        <v>1300</v>
      </c>
      <c r="F364" t="s">
        <v>1852</v>
      </c>
      <c r="H364">
        <v>44</v>
      </c>
      <c r="J364" t="s">
        <v>1519</v>
      </c>
      <c r="K364" t="s">
        <v>1578</v>
      </c>
      <c r="L364" t="s">
        <v>1579</v>
      </c>
      <c r="M364" t="s">
        <v>1580</v>
      </c>
      <c r="N364" t="s">
        <v>540</v>
      </c>
    </row>
    <row r="365" spans="1:20" x14ac:dyDescent="0.35">
      <c r="A365" s="1">
        <v>364</v>
      </c>
      <c r="B365" t="s">
        <v>1413</v>
      </c>
      <c r="C365" t="s">
        <v>1311</v>
      </c>
      <c r="D365">
        <v>2020</v>
      </c>
      <c r="E365" t="s">
        <v>1300</v>
      </c>
      <c r="F365" t="s">
        <v>1852</v>
      </c>
      <c r="H365">
        <v>52</v>
      </c>
      <c r="J365" t="s">
        <v>1520</v>
      </c>
      <c r="K365" t="s">
        <v>1581</v>
      </c>
      <c r="L365" t="s">
        <v>1582</v>
      </c>
      <c r="M365" t="s">
        <v>1583</v>
      </c>
      <c r="N365" t="s">
        <v>1584</v>
      </c>
      <c r="O365" t="s">
        <v>566</v>
      </c>
    </row>
    <row r="366" spans="1:20" x14ac:dyDescent="0.35">
      <c r="A366" s="1">
        <v>365</v>
      </c>
      <c r="B366" t="s">
        <v>1414</v>
      </c>
      <c r="C366" t="s">
        <v>1312</v>
      </c>
      <c r="D366">
        <v>2020</v>
      </c>
      <c r="E366" t="s">
        <v>1300</v>
      </c>
      <c r="F366" t="s">
        <v>1852</v>
      </c>
      <c r="H366">
        <v>60</v>
      </c>
      <c r="J366" t="s">
        <v>1520</v>
      </c>
      <c r="K366" t="s">
        <v>1585</v>
      </c>
      <c r="L366" t="s">
        <v>566</v>
      </c>
    </row>
    <row r="367" spans="1:20" x14ac:dyDescent="0.35">
      <c r="A367" s="1">
        <v>366</v>
      </c>
      <c r="B367" t="s">
        <v>1415</v>
      </c>
      <c r="C367" t="s">
        <v>1313</v>
      </c>
      <c r="D367">
        <v>2020</v>
      </c>
      <c r="E367" t="s">
        <v>1300</v>
      </c>
      <c r="F367" t="s">
        <v>1852</v>
      </c>
      <c r="H367">
        <v>69</v>
      </c>
      <c r="J367" t="s">
        <v>1586</v>
      </c>
      <c r="K367" t="s">
        <v>1587</v>
      </c>
    </row>
    <row r="368" spans="1:20" x14ac:dyDescent="0.35">
      <c r="A368" s="1">
        <v>367</v>
      </c>
      <c r="B368" t="s">
        <v>1416</v>
      </c>
      <c r="C368" t="s">
        <v>1314</v>
      </c>
      <c r="D368">
        <v>2020</v>
      </c>
      <c r="E368" t="s">
        <v>1300</v>
      </c>
      <c r="F368" t="s">
        <v>1852</v>
      </c>
      <c r="H368">
        <v>78</v>
      </c>
      <c r="J368" t="s">
        <v>1588</v>
      </c>
      <c r="K368" t="s">
        <v>345</v>
      </c>
    </row>
    <row r="369" spans="1:14" x14ac:dyDescent="0.35">
      <c r="A369" s="1">
        <v>368</v>
      </c>
      <c r="B369" t="s">
        <v>1417</v>
      </c>
      <c r="C369" t="s">
        <v>1315</v>
      </c>
      <c r="D369">
        <v>2020</v>
      </c>
      <c r="E369" t="s">
        <v>1300</v>
      </c>
      <c r="F369" t="s">
        <v>1852</v>
      </c>
      <c r="H369">
        <v>87</v>
      </c>
      <c r="J369" t="s">
        <v>1589</v>
      </c>
      <c r="K369" t="s">
        <v>1590</v>
      </c>
    </row>
    <row r="370" spans="1:14" x14ac:dyDescent="0.35">
      <c r="A370" s="1">
        <v>369</v>
      </c>
      <c r="B370" t="s">
        <v>1418</v>
      </c>
      <c r="C370" t="s">
        <v>1316</v>
      </c>
      <c r="D370">
        <v>2020</v>
      </c>
      <c r="E370" t="s">
        <v>1300</v>
      </c>
      <c r="F370" t="s">
        <v>1853</v>
      </c>
      <c r="H370">
        <v>95</v>
      </c>
      <c r="J370" t="s">
        <v>1521</v>
      </c>
      <c r="K370" t="s">
        <v>1591</v>
      </c>
      <c r="L370" t="s">
        <v>1592</v>
      </c>
    </row>
    <row r="371" spans="1:14" x14ac:dyDescent="0.35">
      <c r="A371" s="1">
        <v>370</v>
      </c>
      <c r="B371" t="s">
        <v>1419</v>
      </c>
      <c r="C371" t="s">
        <v>1317</v>
      </c>
      <c r="D371">
        <v>2020</v>
      </c>
      <c r="E371" t="s">
        <v>1300</v>
      </c>
      <c r="F371" t="s">
        <v>1853</v>
      </c>
      <c r="H371">
        <v>104</v>
      </c>
      <c r="J371" t="s">
        <v>806</v>
      </c>
      <c r="K371" t="s">
        <v>479</v>
      </c>
      <c r="L371" t="s">
        <v>1593</v>
      </c>
    </row>
    <row r="372" spans="1:14" x14ac:dyDescent="0.35">
      <c r="A372" s="1">
        <v>371</v>
      </c>
      <c r="B372" t="s">
        <v>1420</v>
      </c>
      <c r="C372" t="s">
        <v>514</v>
      </c>
      <c r="D372">
        <v>2020</v>
      </c>
      <c r="E372" t="s">
        <v>1300</v>
      </c>
      <c r="F372" t="s">
        <v>1853</v>
      </c>
      <c r="H372">
        <v>113</v>
      </c>
      <c r="J372" t="s">
        <v>514</v>
      </c>
    </row>
    <row r="373" spans="1:14" x14ac:dyDescent="0.35">
      <c r="A373" s="1">
        <v>372</v>
      </c>
      <c r="B373" t="s">
        <v>1421</v>
      </c>
      <c r="C373" t="s">
        <v>1318</v>
      </c>
      <c r="D373">
        <v>2020</v>
      </c>
      <c r="E373" t="s">
        <v>1300</v>
      </c>
      <c r="F373" t="s">
        <v>1854</v>
      </c>
      <c r="H373">
        <v>121</v>
      </c>
      <c r="J373" t="s">
        <v>1522</v>
      </c>
      <c r="K373" t="s">
        <v>1594</v>
      </c>
      <c r="L373" t="s">
        <v>1595</v>
      </c>
    </row>
    <row r="374" spans="1:14" x14ac:dyDescent="0.35">
      <c r="A374" s="1">
        <v>373</v>
      </c>
      <c r="B374" t="s">
        <v>1422</v>
      </c>
      <c r="C374" t="s">
        <v>1319</v>
      </c>
      <c r="D374">
        <v>2020</v>
      </c>
      <c r="E374" t="s">
        <v>1300</v>
      </c>
      <c r="F374" t="s">
        <v>1854</v>
      </c>
      <c r="H374">
        <v>130</v>
      </c>
      <c r="J374" t="s">
        <v>1596</v>
      </c>
      <c r="K374" t="s">
        <v>1597</v>
      </c>
    </row>
    <row r="375" spans="1:14" x14ac:dyDescent="0.35">
      <c r="A375" s="1">
        <v>374</v>
      </c>
      <c r="B375" t="s">
        <v>1423</v>
      </c>
      <c r="C375" t="s">
        <v>1320</v>
      </c>
      <c r="D375">
        <v>2020</v>
      </c>
      <c r="E375" t="s">
        <v>1300</v>
      </c>
      <c r="F375" t="s">
        <v>1854</v>
      </c>
      <c r="H375">
        <v>139</v>
      </c>
      <c r="J375" t="s">
        <v>1598</v>
      </c>
      <c r="K375" t="s">
        <v>345</v>
      </c>
    </row>
    <row r="376" spans="1:14" x14ac:dyDescent="0.35">
      <c r="A376" s="1">
        <v>375</v>
      </c>
      <c r="B376" t="s">
        <v>1424</v>
      </c>
      <c r="C376" t="s">
        <v>1321</v>
      </c>
      <c r="D376">
        <v>2020</v>
      </c>
      <c r="E376" t="s">
        <v>1300</v>
      </c>
      <c r="F376" t="s">
        <v>1854</v>
      </c>
      <c r="H376">
        <v>146</v>
      </c>
      <c r="J376" t="s">
        <v>1599</v>
      </c>
      <c r="K376" t="s">
        <v>1600</v>
      </c>
    </row>
    <row r="377" spans="1:14" x14ac:dyDescent="0.35">
      <c r="A377" s="1">
        <v>376</v>
      </c>
      <c r="B377" t="s">
        <v>1425</v>
      </c>
      <c r="C377" t="s">
        <v>1322</v>
      </c>
      <c r="D377">
        <v>2020</v>
      </c>
      <c r="E377" t="s">
        <v>1300</v>
      </c>
      <c r="F377" t="s">
        <v>1854</v>
      </c>
      <c r="H377">
        <v>148</v>
      </c>
      <c r="J377" t="s">
        <v>1601</v>
      </c>
      <c r="K377" t="s">
        <v>566</v>
      </c>
    </row>
    <row r="378" spans="1:14" x14ac:dyDescent="0.35">
      <c r="A378" s="1">
        <v>377</v>
      </c>
      <c r="B378" t="s">
        <v>1426</v>
      </c>
      <c r="C378" t="s">
        <v>1323</v>
      </c>
      <c r="D378">
        <v>2020</v>
      </c>
      <c r="E378" t="s">
        <v>1300</v>
      </c>
      <c r="F378" t="s">
        <v>1854</v>
      </c>
      <c r="H378">
        <v>157</v>
      </c>
      <c r="J378" t="s">
        <v>1523</v>
      </c>
      <c r="K378" t="s">
        <v>1602</v>
      </c>
      <c r="L378" t="s">
        <v>1603</v>
      </c>
      <c r="M378" t="s">
        <v>1604</v>
      </c>
    </row>
    <row r="379" spans="1:14" x14ac:dyDescent="0.35">
      <c r="A379" s="1">
        <v>378</v>
      </c>
      <c r="B379" t="s">
        <v>1427</v>
      </c>
      <c r="C379" t="s">
        <v>1324</v>
      </c>
      <c r="D379">
        <v>2020</v>
      </c>
      <c r="E379" t="s">
        <v>1300</v>
      </c>
      <c r="F379" t="s">
        <v>1855</v>
      </c>
      <c r="H379">
        <v>160</v>
      </c>
      <c r="J379" t="s">
        <v>1524</v>
      </c>
      <c r="K379" t="s">
        <v>382</v>
      </c>
      <c r="L379" t="s">
        <v>1605</v>
      </c>
      <c r="M379" t="s">
        <v>567</v>
      </c>
    </row>
    <row r="380" spans="1:14" x14ac:dyDescent="0.35">
      <c r="A380" s="1">
        <v>379</v>
      </c>
      <c r="B380" t="s">
        <v>1428</v>
      </c>
      <c r="C380" t="s">
        <v>1325</v>
      </c>
      <c r="D380">
        <v>2020</v>
      </c>
      <c r="E380" t="s">
        <v>1300</v>
      </c>
      <c r="F380" t="s">
        <v>1855</v>
      </c>
      <c r="H380">
        <v>163</v>
      </c>
      <c r="J380" t="s">
        <v>1525</v>
      </c>
      <c r="K380" t="s">
        <v>540</v>
      </c>
      <c r="L380" t="s">
        <v>1606</v>
      </c>
    </row>
    <row r="381" spans="1:14" x14ac:dyDescent="0.35">
      <c r="A381" s="1">
        <v>380</v>
      </c>
      <c r="B381" t="s">
        <v>1429</v>
      </c>
      <c r="C381" t="s">
        <v>1326</v>
      </c>
      <c r="D381">
        <v>2020</v>
      </c>
      <c r="E381" t="s">
        <v>1300</v>
      </c>
      <c r="F381" t="s">
        <v>1855</v>
      </c>
      <c r="H381">
        <v>171</v>
      </c>
      <c r="J381" t="s">
        <v>1326</v>
      </c>
    </row>
    <row r="382" spans="1:14" x14ac:dyDescent="0.35">
      <c r="A382" s="1">
        <v>381</v>
      </c>
      <c r="B382" t="s">
        <v>1430</v>
      </c>
      <c r="C382" t="s">
        <v>1327</v>
      </c>
      <c r="D382">
        <v>2020</v>
      </c>
      <c r="E382" t="s">
        <v>1300</v>
      </c>
      <c r="F382" t="s">
        <v>1855</v>
      </c>
      <c r="H382">
        <v>180</v>
      </c>
      <c r="J382" t="s">
        <v>676</v>
      </c>
      <c r="K382" t="s">
        <v>444</v>
      </c>
      <c r="L382" t="s">
        <v>677</v>
      </c>
    </row>
    <row r="383" spans="1:14" x14ac:dyDescent="0.35">
      <c r="A383" s="1">
        <v>382</v>
      </c>
      <c r="B383" t="s">
        <v>1431</v>
      </c>
      <c r="C383" t="s">
        <v>1328</v>
      </c>
      <c r="D383">
        <v>2020</v>
      </c>
      <c r="E383" t="s">
        <v>1300</v>
      </c>
      <c r="F383" t="s">
        <v>1855</v>
      </c>
      <c r="H383">
        <v>188</v>
      </c>
      <c r="J383" t="s">
        <v>442</v>
      </c>
      <c r="K383" t="s">
        <v>805</v>
      </c>
    </row>
    <row r="384" spans="1:14" x14ac:dyDescent="0.35">
      <c r="A384" s="1">
        <v>383</v>
      </c>
      <c r="B384" t="s">
        <v>1432</v>
      </c>
      <c r="C384" t="s">
        <v>1329</v>
      </c>
      <c r="D384">
        <v>2020</v>
      </c>
      <c r="E384" t="s">
        <v>1300</v>
      </c>
      <c r="F384" t="s">
        <v>1855</v>
      </c>
      <c r="H384">
        <v>190</v>
      </c>
      <c r="J384" t="s">
        <v>626</v>
      </c>
      <c r="K384" t="s">
        <v>1607</v>
      </c>
      <c r="L384" t="s">
        <v>627</v>
      </c>
      <c r="M384" t="s">
        <v>625</v>
      </c>
      <c r="N384" t="s">
        <v>1544</v>
      </c>
    </row>
    <row r="385" spans="1:15" x14ac:dyDescent="0.35">
      <c r="A385" s="1">
        <v>384</v>
      </c>
      <c r="B385" t="s">
        <v>1433</v>
      </c>
      <c r="C385" t="s">
        <v>1330</v>
      </c>
      <c r="D385">
        <v>2020</v>
      </c>
      <c r="E385" t="s">
        <v>1300</v>
      </c>
      <c r="F385" t="s">
        <v>1855</v>
      </c>
      <c r="H385">
        <v>199</v>
      </c>
      <c r="J385" t="s">
        <v>1330</v>
      </c>
    </row>
    <row r="386" spans="1:15" x14ac:dyDescent="0.35">
      <c r="A386" s="1">
        <v>385</v>
      </c>
      <c r="B386" t="s">
        <v>1434</v>
      </c>
      <c r="C386" t="s">
        <v>590</v>
      </c>
      <c r="D386">
        <v>2020</v>
      </c>
      <c r="E386" t="s">
        <v>1300</v>
      </c>
      <c r="F386" t="s">
        <v>1855</v>
      </c>
      <c r="H386">
        <v>202</v>
      </c>
      <c r="J386" t="s">
        <v>590</v>
      </c>
    </row>
    <row r="387" spans="1:15" x14ac:dyDescent="0.35">
      <c r="A387" s="1">
        <v>386</v>
      </c>
      <c r="B387" t="s">
        <v>1435</v>
      </c>
      <c r="C387" t="s">
        <v>1331</v>
      </c>
      <c r="D387">
        <v>2020</v>
      </c>
      <c r="E387" t="s">
        <v>1300</v>
      </c>
      <c r="F387" t="s">
        <v>1855</v>
      </c>
      <c r="H387">
        <v>210</v>
      </c>
      <c r="J387" t="s">
        <v>1526</v>
      </c>
      <c r="K387" t="s">
        <v>874</v>
      </c>
      <c r="L387" t="s">
        <v>1563</v>
      </c>
    </row>
    <row r="388" spans="1:15" x14ac:dyDescent="0.35">
      <c r="A388" s="1">
        <v>387</v>
      </c>
      <c r="B388" t="s">
        <v>1436</v>
      </c>
      <c r="C388" t="s">
        <v>1398</v>
      </c>
      <c r="D388">
        <v>2020</v>
      </c>
      <c r="E388" t="s">
        <v>1300</v>
      </c>
      <c r="F388" t="s">
        <v>1855</v>
      </c>
      <c r="H388">
        <v>219</v>
      </c>
      <c r="J388" t="s">
        <v>1527</v>
      </c>
      <c r="K388" t="s">
        <v>1608</v>
      </c>
      <c r="L388" t="s">
        <v>1609</v>
      </c>
      <c r="M388" t="s">
        <v>1610</v>
      </c>
      <c r="N388" t="s">
        <v>1611</v>
      </c>
      <c r="O388" t="s">
        <v>1612</v>
      </c>
    </row>
    <row r="389" spans="1:15" x14ac:dyDescent="0.35">
      <c r="A389" s="1">
        <v>388</v>
      </c>
      <c r="B389" t="s">
        <v>1437</v>
      </c>
      <c r="C389" t="s">
        <v>649</v>
      </c>
      <c r="D389">
        <v>2020</v>
      </c>
      <c r="E389" t="s">
        <v>1300</v>
      </c>
      <c r="F389" t="s">
        <v>1855</v>
      </c>
      <c r="H389">
        <v>221</v>
      </c>
      <c r="J389" t="s">
        <v>649</v>
      </c>
    </row>
    <row r="390" spans="1:15" x14ac:dyDescent="0.35">
      <c r="A390" s="1">
        <v>389</v>
      </c>
      <c r="B390" t="s">
        <v>1438</v>
      </c>
      <c r="C390" t="s">
        <v>1332</v>
      </c>
      <c r="D390">
        <v>2020</v>
      </c>
      <c r="E390" t="s">
        <v>1300</v>
      </c>
      <c r="F390" t="s">
        <v>1855</v>
      </c>
      <c r="H390">
        <v>230</v>
      </c>
      <c r="J390" t="s">
        <v>1528</v>
      </c>
      <c r="K390" t="s">
        <v>1613</v>
      </c>
      <c r="L390" t="s">
        <v>862</v>
      </c>
      <c r="M390" t="s">
        <v>515</v>
      </c>
    </row>
    <row r="391" spans="1:15" x14ac:dyDescent="0.35">
      <c r="A391" s="1">
        <v>390</v>
      </c>
      <c r="B391" t="s">
        <v>1439</v>
      </c>
      <c r="C391" t="s">
        <v>1333</v>
      </c>
      <c r="D391">
        <v>2020</v>
      </c>
      <c r="E391" t="s">
        <v>1300</v>
      </c>
      <c r="F391" t="s">
        <v>1855</v>
      </c>
      <c r="H391">
        <v>239</v>
      </c>
      <c r="J391" t="s">
        <v>1529</v>
      </c>
      <c r="K391" t="s">
        <v>1614</v>
      </c>
      <c r="L391" t="s">
        <v>846</v>
      </c>
    </row>
    <row r="392" spans="1:15" x14ac:dyDescent="0.35">
      <c r="A392" s="1">
        <v>391</v>
      </c>
      <c r="B392" t="s">
        <v>1440</v>
      </c>
      <c r="C392" t="s">
        <v>1334</v>
      </c>
      <c r="D392">
        <v>2020</v>
      </c>
      <c r="E392" t="s">
        <v>1300</v>
      </c>
      <c r="F392" t="s">
        <v>1855</v>
      </c>
      <c r="H392">
        <v>248</v>
      </c>
      <c r="J392" t="s">
        <v>420</v>
      </c>
      <c r="K392" t="s">
        <v>178</v>
      </c>
    </row>
    <row r="393" spans="1:15" x14ac:dyDescent="0.35">
      <c r="A393" s="1">
        <v>392</v>
      </c>
      <c r="B393" t="s">
        <v>1441</v>
      </c>
      <c r="C393" t="s">
        <v>1335</v>
      </c>
      <c r="D393">
        <v>2020</v>
      </c>
      <c r="E393" t="s">
        <v>1300</v>
      </c>
      <c r="F393" t="s">
        <v>1855</v>
      </c>
      <c r="H393">
        <v>251</v>
      </c>
      <c r="J393" t="s">
        <v>1530</v>
      </c>
      <c r="K393" t="s">
        <v>1615</v>
      </c>
      <c r="L393" t="s">
        <v>1616</v>
      </c>
    </row>
    <row r="394" spans="1:15" x14ac:dyDescent="0.35">
      <c r="A394" s="1">
        <v>393</v>
      </c>
      <c r="B394" t="s">
        <v>1442</v>
      </c>
      <c r="C394" t="s">
        <v>179</v>
      </c>
      <c r="D394">
        <v>2020</v>
      </c>
      <c r="E394" t="s">
        <v>1300</v>
      </c>
      <c r="F394" t="s">
        <v>1855</v>
      </c>
      <c r="H394">
        <v>260</v>
      </c>
      <c r="J394" t="s">
        <v>179</v>
      </c>
    </row>
    <row r="395" spans="1:15" x14ac:dyDescent="0.35">
      <c r="A395" s="1">
        <v>394</v>
      </c>
      <c r="B395" t="s">
        <v>1443</v>
      </c>
      <c r="C395" t="s">
        <v>1336</v>
      </c>
      <c r="D395">
        <v>2020</v>
      </c>
      <c r="E395" t="s">
        <v>1300</v>
      </c>
      <c r="F395" t="s">
        <v>1855</v>
      </c>
      <c r="H395">
        <v>263</v>
      </c>
      <c r="J395" t="s">
        <v>443</v>
      </c>
      <c r="K395" t="s">
        <v>1617</v>
      </c>
      <c r="L395" t="s">
        <v>1618</v>
      </c>
      <c r="M395" t="s">
        <v>1619</v>
      </c>
    </row>
    <row r="396" spans="1:15" x14ac:dyDescent="0.35">
      <c r="A396" s="1">
        <v>395</v>
      </c>
      <c r="B396" t="s">
        <v>1444</v>
      </c>
      <c r="C396" t="s">
        <v>1337</v>
      </c>
      <c r="D396">
        <v>2020</v>
      </c>
      <c r="E396" t="s">
        <v>1300</v>
      </c>
      <c r="F396" t="s">
        <v>1855</v>
      </c>
      <c r="H396">
        <v>266</v>
      </c>
      <c r="J396" t="s">
        <v>1531</v>
      </c>
      <c r="K396" t="s">
        <v>341</v>
      </c>
      <c r="L396" t="s">
        <v>502</v>
      </c>
    </row>
    <row r="397" spans="1:15" x14ac:dyDescent="0.35">
      <c r="A397" s="1">
        <v>396</v>
      </c>
      <c r="B397" t="s">
        <v>1445</v>
      </c>
      <c r="C397" t="s">
        <v>1338</v>
      </c>
      <c r="D397">
        <v>2020</v>
      </c>
      <c r="E397" t="s">
        <v>1300</v>
      </c>
      <c r="F397" t="s">
        <v>1855</v>
      </c>
      <c r="H397">
        <v>269</v>
      </c>
      <c r="J397" t="s">
        <v>1532</v>
      </c>
      <c r="K397" t="s">
        <v>1620</v>
      </c>
      <c r="L397" t="s">
        <v>1612</v>
      </c>
    </row>
    <row r="398" spans="1:15" x14ac:dyDescent="0.35">
      <c r="A398" s="1">
        <v>397</v>
      </c>
      <c r="B398" t="s">
        <v>1446</v>
      </c>
      <c r="C398" t="s">
        <v>1339</v>
      </c>
      <c r="D398">
        <v>2020</v>
      </c>
      <c r="E398" t="s">
        <v>1300</v>
      </c>
      <c r="F398" t="s">
        <v>1855</v>
      </c>
      <c r="H398">
        <v>273</v>
      </c>
      <c r="J398" t="s">
        <v>457</v>
      </c>
      <c r="K398" t="s">
        <v>458</v>
      </c>
    </row>
    <row r="399" spans="1:15" x14ac:dyDescent="0.35">
      <c r="A399" s="1">
        <v>398</v>
      </c>
      <c r="B399" t="s">
        <v>1447</v>
      </c>
      <c r="C399" t="s">
        <v>1047</v>
      </c>
      <c r="D399">
        <v>2020</v>
      </c>
      <c r="E399" t="s">
        <v>1300</v>
      </c>
      <c r="F399" t="s">
        <v>1855</v>
      </c>
      <c r="H399">
        <v>283</v>
      </c>
      <c r="J399" t="s">
        <v>1259</v>
      </c>
      <c r="K399" t="s">
        <v>569</v>
      </c>
    </row>
    <row r="400" spans="1:15" x14ac:dyDescent="0.35">
      <c r="A400" s="1">
        <v>399</v>
      </c>
      <c r="B400" t="s">
        <v>1448</v>
      </c>
      <c r="C400" t="s">
        <v>1340</v>
      </c>
      <c r="D400">
        <v>2020</v>
      </c>
      <c r="E400" t="s">
        <v>1300</v>
      </c>
      <c r="F400" t="s">
        <v>1855</v>
      </c>
      <c r="H400">
        <v>292</v>
      </c>
      <c r="J400" t="s">
        <v>1533</v>
      </c>
      <c r="K400" t="s">
        <v>1592</v>
      </c>
      <c r="L400" t="s">
        <v>1621</v>
      </c>
    </row>
    <row r="401" spans="1:15" x14ac:dyDescent="0.35">
      <c r="A401" s="1">
        <v>400</v>
      </c>
      <c r="B401" t="s">
        <v>1449</v>
      </c>
      <c r="C401" t="s">
        <v>171</v>
      </c>
      <c r="D401">
        <v>2020</v>
      </c>
      <c r="E401" t="s">
        <v>1300</v>
      </c>
      <c r="F401" t="s">
        <v>1855</v>
      </c>
      <c r="H401">
        <v>300</v>
      </c>
      <c r="J401" t="s">
        <v>171</v>
      </c>
    </row>
    <row r="402" spans="1:15" x14ac:dyDescent="0.35">
      <c r="A402" s="1">
        <v>401</v>
      </c>
      <c r="B402" t="s">
        <v>1450</v>
      </c>
      <c r="C402" t="s">
        <v>1341</v>
      </c>
      <c r="D402">
        <v>2020</v>
      </c>
      <c r="E402" t="s">
        <v>1300</v>
      </c>
      <c r="F402" t="s">
        <v>1855</v>
      </c>
      <c r="H402">
        <v>303</v>
      </c>
      <c r="J402" t="s">
        <v>1534</v>
      </c>
      <c r="K402" t="s">
        <v>1622</v>
      </c>
      <c r="L402" t="s">
        <v>1623</v>
      </c>
      <c r="M402" t="s">
        <v>1624</v>
      </c>
    </row>
    <row r="403" spans="1:15" x14ac:dyDescent="0.35">
      <c r="A403" s="1">
        <v>402</v>
      </c>
      <c r="B403" t="s">
        <v>1451</v>
      </c>
      <c r="C403" t="s">
        <v>1342</v>
      </c>
      <c r="D403">
        <v>2020</v>
      </c>
      <c r="E403" t="s">
        <v>1300</v>
      </c>
      <c r="F403" t="s">
        <v>1855</v>
      </c>
      <c r="H403">
        <v>312</v>
      </c>
      <c r="J403" t="s">
        <v>1342</v>
      </c>
    </row>
    <row r="404" spans="1:15" x14ac:dyDescent="0.35">
      <c r="A404" s="1">
        <v>403</v>
      </c>
      <c r="B404" t="s">
        <v>1452</v>
      </c>
      <c r="C404" t="s">
        <v>1343</v>
      </c>
      <c r="D404">
        <v>2020</v>
      </c>
      <c r="E404" t="s">
        <v>1300</v>
      </c>
      <c r="F404" t="s">
        <v>1855</v>
      </c>
      <c r="H404">
        <v>315</v>
      </c>
      <c r="J404" t="s">
        <v>1519</v>
      </c>
      <c r="K404" t="s">
        <v>1625</v>
      </c>
      <c r="L404" t="s">
        <v>1626</v>
      </c>
    </row>
    <row r="405" spans="1:15" x14ac:dyDescent="0.35">
      <c r="A405" s="1">
        <v>404</v>
      </c>
      <c r="B405" t="s">
        <v>1453</v>
      </c>
      <c r="C405" t="s">
        <v>1344</v>
      </c>
      <c r="D405">
        <v>2020</v>
      </c>
      <c r="E405" t="s">
        <v>1300</v>
      </c>
      <c r="F405" t="s">
        <v>1855</v>
      </c>
      <c r="H405">
        <v>324</v>
      </c>
      <c r="J405" t="s">
        <v>1535</v>
      </c>
      <c r="K405" t="s">
        <v>1627</v>
      </c>
      <c r="L405" t="s">
        <v>857</v>
      </c>
    </row>
    <row r="406" spans="1:15" x14ac:dyDescent="0.35">
      <c r="A406" s="1">
        <v>405</v>
      </c>
      <c r="B406" t="s">
        <v>1454</v>
      </c>
      <c r="C406" t="s">
        <v>1345</v>
      </c>
      <c r="D406">
        <v>2020</v>
      </c>
      <c r="E406" t="s">
        <v>1300</v>
      </c>
      <c r="F406" t="s">
        <v>1855</v>
      </c>
      <c r="H406">
        <v>333</v>
      </c>
      <c r="J406" t="s">
        <v>1536</v>
      </c>
      <c r="K406" t="s">
        <v>1277</v>
      </c>
      <c r="L406" t="s">
        <v>1628</v>
      </c>
      <c r="M406" t="s">
        <v>555</v>
      </c>
      <c r="N406" t="s">
        <v>557</v>
      </c>
      <c r="O406" t="s">
        <v>556</v>
      </c>
    </row>
    <row r="407" spans="1:15" x14ac:dyDescent="0.35">
      <c r="A407" s="1">
        <v>406</v>
      </c>
      <c r="B407" t="s">
        <v>1455</v>
      </c>
      <c r="C407" t="s">
        <v>1346</v>
      </c>
      <c r="D407">
        <v>2020</v>
      </c>
      <c r="E407" t="s">
        <v>1300</v>
      </c>
      <c r="F407" t="s">
        <v>1855</v>
      </c>
      <c r="H407">
        <v>341</v>
      </c>
      <c r="J407" t="s">
        <v>1534</v>
      </c>
      <c r="K407" t="s">
        <v>1624</v>
      </c>
    </row>
    <row r="408" spans="1:15" x14ac:dyDescent="0.35">
      <c r="A408" s="1">
        <v>407</v>
      </c>
      <c r="B408" t="s">
        <v>1456</v>
      </c>
      <c r="C408" t="s">
        <v>698</v>
      </c>
      <c r="D408">
        <v>2020</v>
      </c>
      <c r="E408" t="s">
        <v>1300</v>
      </c>
      <c r="F408" t="s">
        <v>1855</v>
      </c>
      <c r="H408">
        <v>350</v>
      </c>
      <c r="J408" t="s">
        <v>494</v>
      </c>
      <c r="K408" t="s">
        <v>336</v>
      </c>
    </row>
    <row r="409" spans="1:15" x14ac:dyDescent="0.35">
      <c r="A409" s="1">
        <v>408</v>
      </c>
      <c r="B409" t="s">
        <v>1457</v>
      </c>
      <c r="C409" t="s">
        <v>1347</v>
      </c>
      <c r="D409">
        <v>2020</v>
      </c>
      <c r="E409" t="s">
        <v>1300</v>
      </c>
      <c r="F409" t="s">
        <v>1855</v>
      </c>
      <c r="H409">
        <v>359</v>
      </c>
      <c r="J409" t="s">
        <v>1537</v>
      </c>
      <c r="K409" t="s">
        <v>1629</v>
      </c>
      <c r="L409" t="s">
        <v>1630</v>
      </c>
    </row>
    <row r="410" spans="1:15" x14ac:dyDescent="0.35">
      <c r="A410" s="1">
        <v>409</v>
      </c>
      <c r="B410" t="s">
        <v>1458</v>
      </c>
      <c r="C410" t="s">
        <v>1052</v>
      </c>
      <c r="D410">
        <v>2020</v>
      </c>
      <c r="E410" t="s">
        <v>1300</v>
      </c>
      <c r="F410" t="s">
        <v>1855</v>
      </c>
      <c r="H410">
        <v>367</v>
      </c>
      <c r="J410" t="s">
        <v>486</v>
      </c>
      <c r="K410" t="s">
        <v>846</v>
      </c>
    </row>
    <row r="411" spans="1:15" x14ac:dyDescent="0.35">
      <c r="A411" s="1">
        <v>410</v>
      </c>
      <c r="B411" t="s">
        <v>1459</v>
      </c>
      <c r="C411" t="s">
        <v>1348</v>
      </c>
      <c r="D411">
        <v>2020</v>
      </c>
      <c r="E411" t="s">
        <v>1300</v>
      </c>
      <c r="F411" t="s">
        <v>1855</v>
      </c>
      <c r="H411">
        <v>376</v>
      </c>
      <c r="J411" t="s">
        <v>1631</v>
      </c>
      <c r="K411" t="s">
        <v>550</v>
      </c>
    </row>
    <row r="412" spans="1:15" x14ac:dyDescent="0.35">
      <c r="A412" s="1">
        <v>411</v>
      </c>
      <c r="B412" t="s">
        <v>1460</v>
      </c>
      <c r="C412" t="s">
        <v>1349</v>
      </c>
      <c r="D412">
        <v>2020</v>
      </c>
      <c r="E412" t="s">
        <v>1300</v>
      </c>
      <c r="F412" t="s">
        <v>1855</v>
      </c>
      <c r="H412">
        <v>384</v>
      </c>
      <c r="J412" t="s">
        <v>362</v>
      </c>
      <c r="K412" t="s">
        <v>429</v>
      </c>
    </row>
    <row r="413" spans="1:15" x14ac:dyDescent="0.35">
      <c r="A413" s="1">
        <v>412</v>
      </c>
      <c r="B413" t="s">
        <v>1461</v>
      </c>
      <c r="C413" t="s">
        <v>1350</v>
      </c>
      <c r="D413">
        <v>2020</v>
      </c>
      <c r="E413" t="s">
        <v>1300</v>
      </c>
      <c r="F413" t="s">
        <v>1855</v>
      </c>
      <c r="H413">
        <v>393</v>
      </c>
      <c r="J413" t="s">
        <v>817</v>
      </c>
      <c r="K413" t="s">
        <v>1632</v>
      </c>
      <c r="L413" t="s">
        <v>1633</v>
      </c>
    </row>
    <row r="414" spans="1:15" x14ac:dyDescent="0.35">
      <c r="A414" s="1">
        <v>413</v>
      </c>
      <c r="B414" t="s">
        <v>1462</v>
      </c>
      <c r="C414" t="s">
        <v>702</v>
      </c>
      <c r="D414">
        <v>2020</v>
      </c>
      <c r="E414" t="s">
        <v>1300</v>
      </c>
      <c r="F414" t="s">
        <v>1855</v>
      </c>
      <c r="H414">
        <v>402</v>
      </c>
      <c r="J414" t="s">
        <v>810</v>
      </c>
      <c r="K414" t="s">
        <v>178</v>
      </c>
    </row>
    <row r="415" spans="1:15" x14ac:dyDescent="0.35">
      <c r="A415" s="1">
        <v>414</v>
      </c>
      <c r="B415" t="s">
        <v>1463</v>
      </c>
      <c r="C415" t="s">
        <v>1351</v>
      </c>
      <c r="D415">
        <v>2020</v>
      </c>
      <c r="E415" t="s">
        <v>1300</v>
      </c>
      <c r="F415" t="s">
        <v>1855</v>
      </c>
      <c r="H415">
        <v>411</v>
      </c>
      <c r="J415" t="s">
        <v>1634</v>
      </c>
      <c r="K415" t="s">
        <v>846</v>
      </c>
    </row>
    <row r="416" spans="1:15" x14ac:dyDescent="0.35">
      <c r="A416" s="1">
        <v>415</v>
      </c>
      <c r="B416" t="s">
        <v>1464</v>
      </c>
      <c r="C416" t="s">
        <v>1352</v>
      </c>
      <c r="D416">
        <v>2020</v>
      </c>
      <c r="E416" t="s">
        <v>1300</v>
      </c>
      <c r="F416" t="s">
        <v>1855</v>
      </c>
      <c r="H416">
        <v>420</v>
      </c>
      <c r="J416" t="s">
        <v>1538</v>
      </c>
      <c r="K416" t="s">
        <v>1635</v>
      </c>
      <c r="L416" t="s">
        <v>1636</v>
      </c>
      <c r="M416" t="s">
        <v>1637</v>
      </c>
      <c r="N416" t="s">
        <v>395</v>
      </c>
    </row>
    <row r="417" spans="1:21" x14ac:dyDescent="0.35">
      <c r="A417" s="1">
        <v>416</v>
      </c>
      <c r="B417" t="s">
        <v>1465</v>
      </c>
      <c r="C417" t="s">
        <v>1353</v>
      </c>
      <c r="D417">
        <v>2020</v>
      </c>
      <c r="E417" t="s">
        <v>1300</v>
      </c>
      <c r="F417" t="s">
        <v>1855</v>
      </c>
      <c r="H417">
        <v>423</v>
      </c>
      <c r="J417" t="s">
        <v>1539</v>
      </c>
      <c r="K417" t="s">
        <v>1638</v>
      </c>
      <c r="L417" t="s">
        <v>1639</v>
      </c>
      <c r="M417" t="s">
        <v>1640</v>
      </c>
    </row>
    <row r="418" spans="1:21" x14ac:dyDescent="0.35">
      <c r="A418" s="1">
        <v>417</v>
      </c>
      <c r="B418" t="s">
        <v>1466</v>
      </c>
      <c r="C418" t="s">
        <v>1399</v>
      </c>
      <c r="D418">
        <v>2020</v>
      </c>
      <c r="E418" t="s">
        <v>1300</v>
      </c>
      <c r="F418" t="s">
        <v>1855</v>
      </c>
      <c r="H418">
        <v>432</v>
      </c>
      <c r="J418" t="s">
        <v>1539</v>
      </c>
      <c r="K418" t="s">
        <v>1641</v>
      </c>
      <c r="L418" t="s">
        <v>1638</v>
      </c>
      <c r="M418" t="s">
        <v>1642</v>
      </c>
      <c r="N418" t="s">
        <v>1643</v>
      </c>
      <c r="O418" t="s">
        <v>1644</v>
      </c>
      <c r="P418" t="s">
        <v>1645</v>
      </c>
      <c r="Q418" t="s">
        <v>1646</v>
      </c>
      <c r="R418" t="s">
        <v>1647</v>
      </c>
      <c r="S418" t="s">
        <v>1648</v>
      </c>
      <c r="T418" t="s">
        <v>1649</v>
      </c>
      <c r="U418" t="s">
        <v>1650</v>
      </c>
    </row>
    <row r="419" spans="1:21" x14ac:dyDescent="0.35">
      <c r="A419" s="1">
        <v>418</v>
      </c>
      <c r="B419" t="s">
        <v>1467</v>
      </c>
      <c r="C419" t="s">
        <v>1354</v>
      </c>
      <c r="D419">
        <v>2020</v>
      </c>
      <c r="E419" t="s">
        <v>1300</v>
      </c>
      <c r="F419" t="s">
        <v>1855</v>
      </c>
      <c r="H419">
        <v>441</v>
      </c>
      <c r="J419" t="s">
        <v>894</v>
      </c>
      <c r="K419" t="s">
        <v>874</v>
      </c>
      <c r="L419" t="s">
        <v>498</v>
      </c>
    </row>
    <row r="420" spans="1:21" x14ac:dyDescent="0.35">
      <c r="A420" s="1">
        <v>419</v>
      </c>
      <c r="B420" t="s">
        <v>1468</v>
      </c>
      <c r="C420" t="s">
        <v>1355</v>
      </c>
      <c r="D420">
        <v>2020</v>
      </c>
      <c r="E420" t="s">
        <v>1300</v>
      </c>
      <c r="F420" t="s">
        <v>1855</v>
      </c>
      <c r="H420">
        <v>450</v>
      </c>
      <c r="J420" t="s">
        <v>1246</v>
      </c>
      <c r="K420" t="s">
        <v>1563</v>
      </c>
      <c r="L420" t="s">
        <v>1651</v>
      </c>
    </row>
    <row r="421" spans="1:21" x14ac:dyDescent="0.35">
      <c r="A421" s="1">
        <v>420</v>
      </c>
      <c r="B421" t="s">
        <v>1469</v>
      </c>
      <c r="C421" t="s">
        <v>1356</v>
      </c>
      <c r="D421">
        <v>2020</v>
      </c>
      <c r="E421" t="s">
        <v>1300</v>
      </c>
      <c r="F421" t="s">
        <v>1855</v>
      </c>
      <c r="H421">
        <v>459</v>
      </c>
      <c r="J421" t="s">
        <v>1652</v>
      </c>
      <c r="K421" t="s">
        <v>439</v>
      </c>
    </row>
    <row r="422" spans="1:21" x14ac:dyDescent="0.35">
      <c r="A422" s="1">
        <v>421</v>
      </c>
      <c r="B422" t="s">
        <v>1470</v>
      </c>
      <c r="C422" t="s">
        <v>1357</v>
      </c>
      <c r="D422">
        <v>2020</v>
      </c>
      <c r="E422" t="s">
        <v>1300</v>
      </c>
      <c r="F422" t="s">
        <v>1855</v>
      </c>
      <c r="H422">
        <v>462</v>
      </c>
      <c r="J422" t="s">
        <v>1540</v>
      </c>
      <c r="K422" t="s">
        <v>1653</v>
      </c>
      <c r="L422" t="s">
        <v>1654</v>
      </c>
      <c r="M422" t="s">
        <v>1655</v>
      </c>
      <c r="N422" t="s">
        <v>1656</v>
      </c>
    </row>
    <row r="423" spans="1:21" x14ac:dyDescent="0.35">
      <c r="A423" s="1">
        <v>422</v>
      </c>
      <c r="B423" t="s">
        <v>1471</v>
      </c>
      <c r="C423" t="s">
        <v>1358</v>
      </c>
      <c r="D423">
        <v>2020</v>
      </c>
      <c r="E423" t="s">
        <v>1300</v>
      </c>
      <c r="F423" t="s">
        <v>1855</v>
      </c>
      <c r="H423">
        <v>465</v>
      </c>
      <c r="J423" t="s">
        <v>351</v>
      </c>
      <c r="K423" t="s">
        <v>1657</v>
      </c>
      <c r="L423" t="s">
        <v>521</v>
      </c>
      <c r="M423" t="s">
        <v>1658</v>
      </c>
      <c r="N423" t="s">
        <v>515</v>
      </c>
    </row>
    <row r="424" spans="1:21" x14ac:dyDescent="0.35">
      <c r="A424" s="1">
        <v>423</v>
      </c>
      <c r="B424" t="s">
        <v>1472</v>
      </c>
      <c r="C424" t="s">
        <v>1359</v>
      </c>
      <c r="D424">
        <v>2020</v>
      </c>
      <c r="E424" t="s">
        <v>1300</v>
      </c>
      <c r="F424" t="s">
        <v>1855</v>
      </c>
      <c r="H424">
        <v>473</v>
      </c>
      <c r="J424" t="s">
        <v>1359</v>
      </c>
    </row>
    <row r="425" spans="1:21" x14ac:dyDescent="0.35">
      <c r="A425" s="1">
        <v>424</v>
      </c>
      <c r="B425" t="s">
        <v>1473</v>
      </c>
      <c r="C425" t="s">
        <v>1360</v>
      </c>
      <c r="D425">
        <v>2020</v>
      </c>
      <c r="E425" t="s">
        <v>1300</v>
      </c>
      <c r="F425" t="s">
        <v>1855</v>
      </c>
      <c r="H425">
        <v>483</v>
      </c>
      <c r="J425" t="s">
        <v>1360</v>
      </c>
    </row>
    <row r="426" spans="1:21" x14ac:dyDescent="0.35">
      <c r="A426" s="1">
        <v>425</v>
      </c>
      <c r="B426" t="s">
        <v>1474</v>
      </c>
      <c r="C426" t="s">
        <v>1361</v>
      </c>
      <c r="D426">
        <v>2020</v>
      </c>
      <c r="E426" t="s">
        <v>1300</v>
      </c>
      <c r="F426" t="s">
        <v>1855</v>
      </c>
      <c r="H426">
        <v>491</v>
      </c>
      <c r="J426" t="s">
        <v>1541</v>
      </c>
      <c r="K426" t="s">
        <v>1659</v>
      </c>
      <c r="L426" t="s">
        <v>1660</v>
      </c>
      <c r="M426" t="s">
        <v>1661</v>
      </c>
    </row>
    <row r="427" spans="1:21" x14ac:dyDescent="0.35">
      <c r="A427" s="1">
        <v>426</v>
      </c>
      <c r="B427" t="s">
        <v>1475</v>
      </c>
      <c r="C427" t="s">
        <v>437</v>
      </c>
      <c r="D427">
        <v>2020</v>
      </c>
      <c r="E427" t="s">
        <v>1300</v>
      </c>
      <c r="F427" t="s">
        <v>1855</v>
      </c>
      <c r="H427">
        <v>500</v>
      </c>
      <c r="J427" t="s">
        <v>437</v>
      </c>
    </row>
    <row r="428" spans="1:21" x14ac:dyDescent="0.35">
      <c r="A428" s="1">
        <v>427</v>
      </c>
      <c r="B428" t="s">
        <v>1476</v>
      </c>
      <c r="C428" t="s">
        <v>1362</v>
      </c>
      <c r="D428">
        <v>2020</v>
      </c>
      <c r="E428" t="s">
        <v>1300</v>
      </c>
      <c r="F428" t="s">
        <v>1855</v>
      </c>
      <c r="H428">
        <v>509</v>
      </c>
      <c r="J428" t="s">
        <v>1362</v>
      </c>
    </row>
    <row r="429" spans="1:21" x14ac:dyDescent="0.35">
      <c r="A429" s="1">
        <v>428</v>
      </c>
      <c r="B429" t="s">
        <v>1477</v>
      </c>
      <c r="C429" t="s">
        <v>1400</v>
      </c>
      <c r="D429">
        <v>2020</v>
      </c>
      <c r="E429" t="s">
        <v>1300</v>
      </c>
      <c r="F429" t="s">
        <v>1855</v>
      </c>
      <c r="H429">
        <v>518</v>
      </c>
      <c r="J429" t="s">
        <v>1277</v>
      </c>
      <c r="K429" t="s">
        <v>1662</v>
      </c>
      <c r="L429" t="s">
        <v>1663</v>
      </c>
      <c r="M429" t="s">
        <v>555</v>
      </c>
      <c r="N429" t="s">
        <v>557</v>
      </c>
      <c r="O429" t="s">
        <v>556</v>
      </c>
      <c r="P429" t="s">
        <v>1536</v>
      </c>
    </row>
    <row r="430" spans="1:21" x14ac:dyDescent="0.35">
      <c r="A430" s="1">
        <v>429</v>
      </c>
      <c r="B430" t="s">
        <v>1478</v>
      </c>
      <c r="C430" t="s">
        <v>1363</v>
      </c>
      <c r="D430">
        <v>2020</v>
      </c>
      <c r="E430" t="s">
        <v>1300</v>
      </c>
      <c r="F430" t="s">
        <v>1855</v>
      </c>
      <c r="H430">
        <v>526</v>
      </c>
      <c r="J430" t="s">
        <v>343</v>
      </c>
      <c r="K430" t="s">
        <v>1664</v>
      </c>
    </row>
    <row r="431" spans="1:21" x14ac:dyDescent="0.35">
      <c r="A431" s="1">
        <v>430</v>
      </c>
      <c r="B431" t="s">
        <v>1479</v>
      </c>
      <c r="C431" t="s">
        <v>1364</v>
      </c>
      <c r="D431">
        <v>2020</v>
      </c>
      <c r="E431" t="s">
        <v>1300</v>
      </c>
      <c r="F431" t="s">
        <v>1855</v>
      </c>
      <c r="H431">
        <v>535</v>
      </c>
      <c r="J431" t="s">
        <v>561</v>
      </c>
      <c r="K431" t="s">
        <v>1657</v>
      </c>
      <c r="L431" t="s">
        <v>1665</v>
      </c>
      <c r="M431" t="s">
        <v>862</v>
      </c>
      <c r="N431" t="s">
        <v>515</v>
      </c>
    </row>
    <row r="432" spans="1:21" x14ac:dyDescent="0.35">
      <c r="A432" s="1">
        <v>431</v>
      </c>
      <c r="B432" t="s">
        <v>1480</v>
      </c>
      <c r="C432" t="s">
        <v>1365</v>
      </c>
      <c r="D432">
        <v>2020</v>
      </c>
      <c r="E432" t="s">
        <v>1300</v>
      </c>
      <c r="F432" t="s">
        <v>1855</v>
      </c>
      <c r="H432">
        <v>541</v>
      </c>
      <c r="J432" t="s">
        <v>325</v>
      </c>
      <c r="K432" t="s">
        <v>1666</v>
      </c>
      <c r="L432" t="s">
        <v>1667</v>
      </c>
    </row>
    <row r="433" spans="1:15" x14ac:dyDescent="0.35">
      <c r="A433" s="1">
        <v>432</v>
      </c>
      <c r="B433" t="s">
        <v>1481</v>
      </c>
      <c r="C433" t="s">
        <v>1366</v>
      </c>
      <c r="D433">
        <v>2020</v>
      </c>
      <c r="E433" t="s">
        <v>1300</v>
      </c>
      <c r="F433" t="s">
        <v>1855</v>
      </c>
      <c r="H433">
        <v>549</v>
      </c>
      <c r="J433" t="s">
        <v>1542</v>
      </c>
      <c r="K433" t="s">
        <v>540</v>
      </c>
      <c r="L433" t="s">
        <v>1668</v>
      </c>
    </row>
    <row r="434" spans="1:15" x14ac:dyDescent="0.35">
      <c r="A434" s="1">
        <v>433</v>
      </c>
      <c r="B434" t="s">
        <v>1482</v>
      </c>
      <c r="C434" t="s">
        <v>719</v>
      </c>
      <c r="D434">
        <v>2020</v>
      </c>
      <c r="E434" t="s">
        <v>1300</v>
      </c>
      <c r="F434" t="s">
        <v>1855</v>
      </c>
      <c r="H434">
        <v>558</v>
      </c>
      <c r="J434" t="s">
        <v>818</v>
      </c>
      <c r="K434" t="s">
        <v>514</v>
      </c>
    </row>
    <row r="435" spans="1:15" x14ac:dyDescent="0.35">
      <c r="A435" s="1">
        <v>434</v>
      </c>
      <c r="B435" t="s">
        <v>1483</v>
      </c>
      <c r="C435" t="s">
        <v>1367</v>
      </c>
      <c r="D435">
        <v>2020</v>
      </c>
      <c r="E435" t="s">
        <v>1300</v>
      </c>
      <c r="F435" t="s">
        <v>1855</v>
      </c>
      <c r="H435">
        <v>567</v>
      </c>
      <c r="J435" t="s">
        <v>1543</v>
      </c>
      <c r="K435" t="s">
        <v>1669</v>
      </c>
      <c r="L435" t="s">
        <v>1670</v>
      </c>
    </row>
    <row r="436" spans="1:15" x14ac:dyDescent="0.35">
      <c r="A436" s="1">
        <v>435</v>
      </c>
      <c r="B436" t="s">
        <v>1484</v>
      </c>
      <c r="C436" t="s">
        <v>1368</v>
      </c>
      <c r="D436">
        <v>2020</v>
      </c>
      <c r="E436" t="s">
        <v>1300</v>
      </c>
      <c r="F436" t="s">
        <v>1855</v>
      </c>
      <c r="H436">
        <v>570</v>
      </c>
      <c r="J436" t="s">
        <v>1544</v>
      </c>
      <c r="K436" t="s">
        <v>625</v>
      </c>
      <c r="L436" t="s">
        <v>626</v>
      </c>
      <c r="M436" t="s">
        <v>627</v>
      </c>
    </row>
    <row r="437" spans="1:15" x14ac:dyDescent="0.35">
      <c r="A437" s="1">
        <v>436</v>
      </c>
      <c r="B437" t="s">
        <v>1485</v>
      </c>
      <c r="C437" t="s">
        <v>996</v>
      </c>
      <c r="D437">
        <v>2020</v>
      </c>
      <c r="E437" t="s">
        <v>1300</v>
      </c>
      <c r="F437" t="s">
        <v>1855</v>
      </c>
      <c r="H437">
        <v>578</v>
      </c>
      <c r="J437" t="s">
        <v>996</v>
      </c>
    </row>
    <row r="438" spans="1:15" x14ac:dyDescent="0.35">
      <c r="A438" s="1">
        <v>437</v>
      </c>
      <c r="B438" t="s">
        <v>1486</v>
      </c>
      <c r="C438" t="s">
        <v>1369</v>
      </c>
      <c r="D438">
        <v>2020</v>
      </c>
      <c r="E438" t="s">
        <v>1300</v>
      </c>
      <c r="F438" t="s">
        <v>1855</v>
      </c>
      <c r="H438">
        <v>581</v>
      </c>
      <c r="J438" t="s">
        <v>1671</v>
      </c>
      <c r="K438" t="s">
        <v>864</v>
      </c>
    </row>
    <row r="439" spans="1:15" x14ac:dyDescent="0.35">
      <c r="A439" s="1">
        <v>438</v>
      </c>
      <c r="B439" t="s">
        <v>1487</v>
      </c>
      <c r="C439" t="s">
        <v>1370</v>
      </c>
      <c r="D439">
        <v>2020</v>
      </c>
      <c r="E439" t="s">
        <v>1300</v>
      </c>
      <c r="F439" t="s">
        <v>1855</v>
      </c>
      <c r="H439">
        <v>589</v>
      </c>
      <c r="J439" t="s">
        <v>1545</v>
      </c>
      <c r="K439" t="s">
        <v>357</v>
      </c>
      <c r="L439" t="s">
        <v>1672</v>
      </c>
      <c r="M439" t="s">
        <v>1673</v>
      </c>
    </row>
    <row r="440" spans="1:15" x14ac:dyDescent="0.35">
      <c r="A440" s="1">
        <v>439</v>
      </c>
      <c r="B440" t="s">
        <v>1488</v>
      </c>
      <c r="C440" t="s">
        <v>1371</v>
      </c>
      <c r="D440">
        <v>2020</v>
      </c>
      <c r="E440" t="s">
        <v>1300</v>
      </c>
      <c r="F440" t="s">
        <v>1855</v>
      </c>
      <c r="H440">
        <v>592</v>
      </c>
      <c r="J440" t="s">
        <v>411</v>
      </c>
      <c r="K440" t="s">
        <v>558</v>
      </c>
    </row>
    <row r="441" spans="1:15" x14ac:dyDescent="0.35">
      <c r="A441" s="1">
        <v>440</v>
      </c>
      <c r="B441" t="s">
        <v>1489</v>
      </c>
      <c r="C441" t="s">
        <v>1372</v>
      </c>
      <c r="D441">
        <v>2020</v>
      </c>
      <c r="E441" t="s">
        <v>1300</v>
      </c>
      <c r="F441" t="s">
        <v>1855</v>
      </c>
      <c r="H441">
        <v>602</v>
      </c>
      <c r="J441" t="s">
        <v>408</v>
      </c>
      <c r="K441" t="s">
        <v>600</v>
      </c>
      <c r="L441" t="s">
        <v>601</v>
      </c>
      <c r="M441" t="s">
        <v>462</v>
      </c>
    </row>
    <row r="442" spans="1:15" x14ac:dyDescent="0.35">
      <c r="A442" s="1">
        <v>441</v>
      </c>
      <c r="B442" t="s">
        <v>1490</v>
      </c>
      <c r="C442" t="s">
        <v>1373</v>
      </c>
      <c r="D442">
        <v>2020</v>
      </c>
      <c r="E442" t="s">
        <v>1300</v>
      </c>
      <c r="F442" t="s">
        <v>1855</v>
      </c>
      <c r="H442">
        <v>605</v>
      </c>
      <c r="J442" t="s">
        <v>1546</v>
      </c>
      <c r="K442" t="s">
        <v>1674</v>
      </c>
      <c r="L442" t="s">
        <v>1675</v>
      </c>
    </row>
    <row r="443" spans="1:15" x14ac:dyDescent="0.35">
      <c r="A443" s="1">
        <v>442</v>
      </c>
      <c r="B443" t="s">
        <v>1491</v>
      </c>
      <c r="C443" t="s">
        <v>1374</v>
      </c>
      <c r="D443">
        <v>2020</v>
      </c>
      <c r="E443" t="s">
        <v>1300</v>
      </c>
      <c r="F443" t="s">
        <v>1855</v>
      </c>
      <c r="H443">
        <v>614</v>
      </c>
      <c r="J443" t="s">
        <v>1089</v>
      </c>
      <c r="K443" t="s">
        <v>1676</v>
      </c>
    </row>
    <row r="444" spans="1:15" x14ac:dyDescent="0.35">
      <c r="A444" s="1">
        <v>443</v>
      </c>
      <c r="B444" t="s">
        <v>1492</v>
      </c>
      <c r="C444" t="s">
        <v>1375</v>
      </c>
      <c r="D444">
        <v>2020</v>
      </c>
      <c r="E444" t="s">
        <v>1300</v>
      </c>
      <c r="F444" t="s">
        <v>1855</v>
      </c>
      <c r="H444">
        <v>623</v>
      </c>
      <c r="J444" t="s">
        <v>1547</v>
      </c>
      <c r="K444" t="s">
        <v>1677</v>
      </c>
      <c r="L444" t="s">
        <v>185</v>
      </c>
    </row>
    <row r="445" spans="1:15" x14ac:dyDescent="0.35">
      <c r="A445" s="1">
        <v>444</v>
      </c>
      <c r="B445" t="s">
        <v>1493</v>
      </c>
      <c r="C445" t="s">
        <v>1376</v>
      </c>
      <c r="D445">
        <v>2020</v>
      </c>
      <c r="E445" t="s">
        <v>1300</v>
      </c>
      <c r="F445" t="s">
        <v>1856</v>
      </c>
      <c r="H445">
        <v>626</v>
      </c>
      <c r="J445" t="s">
        <v>1548</v>
      </c>
      <c r="K445" t="s">
        <v>1678</v>
      </c>
      <c r="L445" t="s">
        <v>1587</v>
      </c>
    </row>
    <row r="446" spans="1:15" x14ac:dyDescent="0.35">
      <c r="A446" s="1">
        <v>445</v>
      </c>
      <c r="B446" t="s">
        <v>1494</v>
      </c>
      <c r="C446" t="s">
        <v>1377</v>
      </c>
      <c r="D446">
        <v>2020</v>
      </c>
      <c r="E446" t="s">
        <v>1300</v>
      </c>
      <c r="F446" t="s">
        <v>1856</v>
      </c>
      <c r="H446">
        <v>636</v>
      </c>
      <c r="J446" t="s">
        <v>1679</v>
      </c>
      <c r="K446" t="s">
        <v>1680</v>
      </c>
    </row>
    <row r="447" spans="1:15" x14ac:dyDescent="0.35">
      <c r="A447" s="1">
        <v>446</v>
      </c>
      <c r="B447" t="s">
        <v>1495</v>
      </c>
      <c r="C447" t="s">
        <v>1378</v>
      </c>
      <c r="D447">
        <v>2020</v>
      </c>
      <c r="E447" t="s">
        <v>1300</v>
      </c>
      <c r="F447" t="s">
        <v>1856</v>
      </c>
      <c r="H447">
        <v>645</v>
      </c>
      <c r="J447" t="s">
        <v>1549</v>
      </c>
      <c r="K447" t="s">
        <v>1681</v>
      </c>
      <c r="L447" t="s">
        <v>1682</v>
      </c>
      <c r="M447" t="s">
        <v>1683</v>
      </c>
    </row>
    <row r="448" spans="1:15" x14ac:dyDescent="0.35">
      <c r="A448" s="1">
        <v>447</v>
      </c>
      <c r="B448" t="s">
        <v>1496</v>
      </c>
      <c r="C448" t="s">
        <v>1379</v>
      </c>
      <c r="D448">
        <v>2020</v>
      </c>
      <c r="E448" t="s">
        <v>1300</v>
      </c>
      <c r="F448" t="s">
        <v>1856</v>
      </c>
      <c r="H448">
        <v>656</v>
      </c>
      <c r="J448" t="s">
        <v>1550</v>
      </c>
      <c r="K448" t="s">
        <v>1684</v>
      </c>
      <c r="L448" t="s">
        <v>1634</v>
      </c>
      <c r="M448" t="s">
        <v>1685</v>
      </c>
      <c r="N448" t="s">
        <v>1686</v>
      </c>
      <c r="O448" t="s">
        <v>1687</v>
      </c>
    </row>
    <row r="449" spans="1:13" x14ac:dyDescent="0.35">
      <c r="A449" s="1">
        <v>448</v>
      </c>
      <c r="B449" t="s">
        <v>1497</v>
      </c>
      <c r="C449" t="s">
        <v>1380</v>
      </c>
      <c r="D449">
        <v>2020</v>
      </c>
      <c r="E449" t="s">
        <v>1300</v>
      </c>
      <c r="F449" t="s">
        <v>1856</v>
      </c>
      <c r="H449">
        <v>665</v>
      </c>
      <c r="J449" t="s">
        <v>1551</v>
      </c>
      <c r="K449" t="s">
        <v>479</v>
      </c>
      <c r="L449" t="s">
        <v>537</v>
      </c>
    </row>
    <row r="450" spans="1:13" x14ac:dyDescent="0.35">
      <c r="A450" s="1">
        <v>449</v>
      </c>
      <c r="B450" t="s">
        <v>1498</v>
      </c>
      <c r="C450" t="s">
        <v>1381</v>
      </c>
      <c r="D450">
        <v>2020</v>
      </c>
      <c r="E450" t="s">
        <v>1300</v>
      </c>
      <c r="F450" t="s">
        <v>1856</v>
      </c>
      <c r="H450">
        <v>668</v>
      </c>
      <c r="J450" t="s">
        <v>1552</v>
      </c>
      <c r="K450" t="s">
        <v>533</v>
      </c>
      <c r="L450" t="s">
        <v>532</v>
      </c>
      <c r="M450" t="s">
        <v>534</v>
      </c>
    </row>
    <row r="451" spans="1:13" x14ac:dyDescent="0.35">
      <c r="A451" s="1">
        <v>450</v>
      </c>
      <c r="B451" t="s">
        <v>1499</v>
      </c>
      <c r="C451" t="s">
        <v>1382</v>
      </c>
      <c r="D451">
        <v>2020</v>
      </c>
      <c r="E451" t="s">
        <v>1300</v>
      </c>
      <c r="F451" t="s">
        <v>1856</v>
      </c>
      <c r="H451">
        <v>678</v>
      </c>
      <c r="J451" t="s">
        <v>1039</v>
      </c>
      <c r="K451" t="s">
        <v>1688</v>
      </c>
    </row>
    <row r="452" spans="1:13" x14ac:dyDescent="0.35">
      <c r="A452" s="1">
        <v>451</v>
      </c>
      <c r="B452" t="s">
        <v>1500</v>
      </c>
      <c r="C452" t="s">
        <v>1383</v>
      </c>
      <c r="D452">
        <v>2020</v>
      </c>
      <c r="E452" t="s">
        <v>1300</v>
      </c>
      <c r="F452" t="s">
        <v>1856</v>
      </c>
      <c r="H452">
        <v>687</v>
      </c>
      <c r="J452" t="s">
        <v>1689</v>
      </c>
      <c r="K452" t="s">
        <v>569</v>
      </c>
    </row>
    <row r="453" spans="1:13" x14ac:dyDescent="0.35">
      <c r="A453" s="1">
        <v>452</v>
      </c>
      <c r="B453" t="s">
        <v>1501</v>
      </c>
      <c r="C453" t="s">
        <v>1384</v>
      </c>
      <c r="D453">
        <v>2020</v>
      </c>
      <c r="E453" t="s">
        <v>1300</v>
      </c>
      <c r="F453" t="s">
        <v>1856</v>
      </c>
      <c r="H453">
        <v>696</v>
      </c>
      <c r="J453" t="s">
        <v>1553</v>
      </c>
      <c r="K453" t="s">
        <v>1690</v>
      </c>
      <c r="L453" t="s">
        <v>1691</v>
      </c>
      <c r="M453" t="s">
        <v>1692</v>
      </c>
    </row>
    <row r="454" spans="1:13" x14ac:dyDescent="0.35">
      <c r="A454" s="1">
        <v>453</v>
      </c>
      <c r="B454" t="s">
        <v>1502</v>
      </c>
      <c r="C454" t="s">
        <v>1385</v>
      </c>
      <c r="D454">
        <v>2020</v>
      </c>
      <c r="E454" t="s">
        <v>1300</v>
      </c>
      <c r="F454" t="s">
        <v>1856</v>
      </c>
      <c r="H454">
        <v>699</v>
      </c>
      <c r="J454" t="s">
        <v>1554</v>
      </c>
      <c r="K454" t="s">
        <v>179</v>
      </c>
      <c r="L454" t="s">
        <v>1693</v>
      </c>
    </row>
    <row r="455" spans="1:13" x14ac:dyDescent="0.35">
      <c r="A455" s="1">
        <v>454</v>
      </c>
      <c r="B455" t="s">
        <v>1503</v>
      </c>
      <c r="C455" t="s">
        <v>1386</v>
      </c>
      <c r="D455">
        <v>2020</v>
      </c>
      <c r="E455" t="s">
        <v>1300</v>
      </c>
      <c r="F455" t="s">
        <v>1856</v>
      </c>
      <c r="H455">
        <v>702</v>
      </c>
      <c r="J455" t="s">
        <v>1694</v>
      </c>
      <c r="K455" t="s">
        <v>1695</v>
      </c>
    </row>
    <row r="456" spans="1:13" x14ac:dyDescent="0.35">
      <c r="A456" s="1">
        <v>455</v>
      </c>
      <c r="B456" t="s">
        <v>1504</v>
      </c>
      <c r="C456" t="s">
        <v>1387</v>
      </c>
      <c r="D456">
        <v>2020</v>
      </c>
      <c r="E456" t="s">
        <v>1300</v>
      </c>
      <c r="F456" t="s">
        <v>1856</v>
      </c>
      <c r="H456">
        <v>712</v>
      </c>
      <c r="J456" t="s">
        <v>1555</v>
      </c>
      <c r="K456" t="s">
        <v>1696</v>
      </c>
      <c r="L456" t="s">
        <v>1553</v>
      </c>
      <c r="M456" t="s">
        <v>1692</v>
      </c>
    </row>
    <row r="457" spans="1:13" x14ac:dyDescent="0.35">
      <c r="A457" s="1">
        <v>456</v>
      </c>
      <c r="B457" t="s">
        <v>1505</v>
      </c>
      <c r="C457" t="s">
        <v>1388</v>
      </c>
      <c r="D457">
        <v>2020</v>
      </c>
      <c r="E457" t="s">
        <v>1300</v>
      </c>
      <c r="F457" t="s">
        <v>1856</v>
      </c>
      <c r="H457">
        <v>715</v>
      </c>
      <c r="J457" t="s">
        <v>667</v>
      </c>
      <c r="K457" t="s">
        <v>439</v>
      </c>
      <c r="L457" t="s">
        <v>668</v>
      </c>
      <c r="M457" t="s">
        <v>514</v>
      </c>
    </row>
    <row r="458" spans="1:13" x14ac:dyDescent="0.35">
      <c r="A458" s="1">
        <v>457</v>
      </c>
      <c r="B458" t="s">
        <v>1506</v>
      </c>
      <c r="C458" t="s">
        <v>1066</v>
      </c>
      <c r="D458">
        <v>2020</v>
      </c>
      <c r="E458" t="s">
        <v>1300</v>
      </c>
      <c r="F458" t="s">
        <v>1856</v>
      </c>
      <c r="H458">
        <v>719</v>
      </c>
      <c r="J458" t="s">
        <v>1269</v>
      </c>
      <c r="K458" t="s">
        <v>487</v>
      </c>
    </row>
    <row r="459" spans="1:13" x14ac:dyDescent="0.35">
      <c r="A459" s="1">
        <v>458</v>
      </c>
      <c r="B459" t="s">
        <v>1507</v>
      </c>
      <c r="C459" t="s">
        <v>1389</v>
      </c>
      <c r="D459">
        <v>2020</v>
      </c>
      <c r="E459" t="s">
        <v>1300</v>
      </c>
      <c r="F459" t="s">
        <v>1856</v>
      </c>
      <c r="H459">
        <v>727</v>
      </c>
      <c r="J459" t="s">
        <v>1556</v>
      </c>
      <c r="K459" t="s">
        <v>1697</v>
      </c>
      <c r="L459" t="s">
        <v>1698</v>
      </c>
      <c r="M459" t="s">
        <v>421</v>
      </c>
    </row>
    <row r="460" spans="1:13" x14ac:dyDescent="0.35">
      <c r="A460" s="1">
        <v>459</v>
      </c>
      <c r="B460" t="s">
        <v>1508</v>
      </c>
      <c r="C460" t="s">
        <v>1390</v>
      </c>
      <c r="D460">
        <v>2020</v>
      </c>
      <c r="E460" t="s">
        <v>1300</v>
      </c>
      <c r="F460" t="s">
        <v>1856</v>
      </c>
      <c r="H460">
        <v>736</v>
      </c>
      <c r="J460" t="s">
        <v>1557</v>
      </c>
      <c r="K460" t="s">
        <v>1699</v>
      </c>
      <c r="L460" t="s">
        <v>1700</v>
      </c>
    </row>
    <row r="461" spans="1:13" x14ac:dyDescent="0.35">
      <c r="A461" s="1">
        <v>460</v>
      </c>
      <c r="B461" t="s">
        <v>1509</v>
      </c>
      <c r="C461" t="s">
        <v>163</v>
      </c>
      <c r="D461">
        <v>2020</v>
      </c>
      <c r="E461" t="s">
        <v>1300</v>
      </c>
      <c r="F461" t="s">
        <v>1856</v>
      </c>
      <c r="H461">
        <v>744</v>
      </c>
      <c r="J461" t="s">
        <v>336</v>
      </c>
      <c r="K461" t="s">
        <v>494</v>
      </c>
    </row>
    <row r="462" spans="1:13" x14ac:dyDescent="0.35">
      <c r="A462" s="1">
        <v>461</v>
      </c>
      <c r="B462" t="s">
        <v>1510</v>
      </c>
      <c r="C462" t="s">
        <v>1391</v>
      </c>
      <c r="D462">
        <v>2020</v>
      </c>
      <c r="E462" t="s">
        <v>1300</v>
      </c>
      <c r="F462" t="s">
        <v>1856</v>
      </c>
      <c r="H462">
        <v>747</v>
      </c>
      <c r="J462" t="s">
        <v>1558</v>
      </c>
      <c r="K462" t="s">
        <v>1269</v>
      </c>
      <c r="L462" t="s">
        <v>1701</v>
      </c>
    </row>
    <row r="463" spans="1:13" x14ac:dyDescent="0.35">
      <c r="A463" s="1">
        <v>462</v>
      </c>
      <c r="B463" t="s">
        <v>1511</v>
      </c>
      <c r="C463" t="s">
        <v>1392</v>
      </c>
      <c r="D463">
        <v>2020</v>
      </c>
      <c r="E463" t="s">
        <v>1300</v>
      </c>
      <c r="F463" t="s">
        <v>1856</v>
      </c>
      <c r="H463">
        <v>750</v>
      </c>
      <c r="J463" t="s">
        <v>1559</v>
      </c>
      <c r="K463" t="s">
        <v>1702</v>
      </c>
      <c r="L463" t="s">
        <v>1703</v>
      </c>
      <c r="M463" t="s">
        <v>1704</v>
      </c>
    </row>
    <row r="464" spans="1:13" x14ac:dyDescent="0.35">
      <c r="A464" s="1">
        <v>463</v>
      </c>
      <c r="B464" t="s">
        <v>1512</v>
      </c>
      <c r="C464" t="s">
        <v>1082</v>
      </c>
      <c r="D464">
        <v>2020</v>
      </c>
      <c r="E464" t="s">
        <v>1300</v>
      </c>
      <c r="F464" t="s">
        <v>1856</v>
      </c>
      <c r="H464">
        <v>753</v>
      </c>
      <c r="J464" t="s">
        <v>479</v>
      </c>
      <c r="K464" t="s">
        <v>1705</v>
      </c>
    </row>
    <row r="465" spans="1:14" x14ac:dyDescent="0.35">
      <c r="A465" s="1">
        <v>464</v>
      </c>
      <c r="B465" t="s">
        <v>1513</v>
      </c>
      <c r="C465" t="s">
        <v>1393</v>
      </c>
      <c r="D465">
        <v>2020</v>
      </c>
      <c r="E465" t="s">
        <v>1300</v>
      </c>
      <c r="F465" t="s">
        <v>1856</v>
      </c>
      <c r="H465">
        <v>761</v>
      </c>
      <c r="J465" t="s">
        <v>1560</v>
      </c>
      <c r="K465" t="s">
        <v>874</v>
      </c>
      <c r="L465" t="s">
        <v>1563</v>
      </c>
    </row>
    <row r="466" spans="1:14" x14ac:dyDescent="0.35">
      <c r="A466" s="1">
        <v>465</v>
      </c>
      <c r="B466" t="s">
        <v>1514</v>
      </c>
      <c r="C466" t="s">
        <v>1394</v>
      </c>
      <c r="D466">
        <v>2020</v>
      </c>
      <c r="E466" t="s">
        <v>1300</v>
      </c>
      <c r="F466" t="s">
        <v>1856</v>
      </c>
      <c r="H466">
        <v>768</v>
      </c>
      <c r="J466" t="s">
        <v>1706</v>
      </c>
      <c r="K466" t="s">
        <v>1707</v>
      </c>
    </row>
    <row r="467" spans="1:14" x14ac:dyDescent="0.35">
      <c r="A467" s="1">
        <v>466</v>
      </c>
      <c r="B467" t="s">
        <v>1515</v>
      </c>
      <c r="C467" t="s">
        <v>1395</v>
      </c>
      <c r="D467">
        <v>2020</v>
      </c>
      <c r="E467" t="s">
        <v>1300</v>
      </c>
      <c r="F467" t="s">
        <v>1856</v>
      </c>
      <c r="H467">
        <v>771</v>
      </c>
      <c r="J467" t="s">
        <v>1708</v>
      </c>
      <c r="K467" t="s">
        <v>179</v>
      </c>
    </row>
    <row r="468" spans="1:14" x14ac:dyDescent="0.35">
      <c r="A468" s="1">
        <v>467</v>
      </c>
      <c r="B468" t="s">
        <v>1516</v>
      </c>
      <c r="C468" t="s">
        <v>1396</v>
      </c>
      <c r="D468">
        <v>2020</v>
      </c>
      <c r="E468" t="s">
        <v>1300</v>
      </c>
      <c r="F468" t="s">
        <v>1856</v>
      </c>
      <c r="H468">
        <v>780</v>
      </c>
      <c r="J468" t="s">
        <v>1561</v>
      </c>
      <c r="K468" t="s">
        <v>1543</v>
      </c>
      <c r="L468" t="s">
        <v>1670</v>
      </c>
    </row>
    <row r="469" spans="1:14" x14ac:dyDescent="0.35">
      <c r="A469" s="1"/>
      <c r="B469" t="s">
        <v>2511</v>
      </c>
      <c r="C469" t="s">
        <v>2522</v>
      </c>
      <c r="H469">
        <v>1</v>
      </c>
      <c r="J469" t="s">
        <v>1667</v>
      </c>
      <c r="K469" t="s">
        <v>2265</v>
      </c>
      <c r="L469" t="s">
        <v>2525</v>
      </c>
      <c r="M469" t="s">
        <v>2524</v>
      </c>
    </row>
    <row r="470" spans="1:14" x14ac:dyDescent="0.35">
      <c r="A470" s="1"/>
      <c r="B470" t="s">
        <v>2512</v>
      </c>
      <c r="C470" t="s">
        <v>2517</v>
      </c>
      <c r="F470" t="s">
        <v>2523</v>
      </c>
      <c r="H470">
        <v>4</v>
      </c>
      <c r="J470" t="s">
        <v>2517</v>
      </c>
    </row>
    <row r="471" spans="1:14" x14ac:dyDescent="0.35">
      <c r="A471" s="1"/>
      <c r="B471" t="s">
        <v>2513</v>
      </c>
      <c r="C471" t="s">
        <v>2521</v>
      </c>
      <c r="H471">
        <v>5</v>
      </c>
      <c r="J471" t="s">
        <v>2521</v>
      </c>
    </row>
    <row r="472" spans="1:14" x14ac:dyDescent="0.35">
      <c r="A472" s="1"/>
      <c r="B472" t="s">
        <v>2514</v>
      </c>
      <c r="C472" t="s">
        <v>2518</v>
      </c>
      <c r="H472">
        <v>6</v>
      </c>
      <c r="J472" t="s">
        <v>2518</v>
      </c>
    </row>
    <row r="473" spans="1:14" x14ac:dyDescent="0.35">
      <c r="A473" s="1"/>
      <c r="B473" t="s">
        <v>2515</v>
      </c>
      <c r="C473" t="s">
        <v>2519</v>
      </c>
      <c r="H473">
        <v>7</v>
      </c>
      <c r="J473" t="s">
        <v>2519</v>
      </c>
    </row>
    <row r="474" spans="1:14" x14ac:dyDescent="0.35">
      <c r="A474" s="1"/>
      <c r="B474" t="s">
        <v>2516</v>
      </c>
      <c r="C474" t="s">
        <v>2520</v>
      </c>
      <c r="H474">
        <v>8</v>
      </c>
      <c r="J474" t="s">
        <v>2520</v>
      </c>
    </row>
    <row r="475" spans="1:14" x14ac:dyDescent="0.35">
      <c r="B475" t="s">
        <v>2400</v>
      </c>
      <c r="C475" t="s">
        <v>1859</v>
      </c>
      <c r="D475">
        <v>2019</v>
      </c>
      <c r="E475" t="s">
        <v>1857</v>
      </c>
      <c r="H475">
        <v>9</v>
      </c>
      <c r="J475" t="s">
        <v>1859</v>
      </c>
    </row>
    <row r="476" spans="1:14" x14ac:dyDescent="0.35">
      <c r="B476" t="s">
        <v>2401</v>
      </c>
      <c r="C476" t="s">
        <v>868</v>
      </c>
      <c r="H476">
        <v>10</v>
      </c>
      <c r="J476" t="s">
        <v>868</v>
      </c>
    </row>
    <row r="477" spans="1:14" x14ac:dyDescent="0.35">
      <c r="B477" t="s">
        <v>2402</v>
      </c>
      <c r="C477" t="s">
        <v>1862</v>
      </c>
      <c r="F477" t="s">
        <v>1853</v>
      </c>
      <c r="H477">
        <v>11</v>
      </c>
      <c r="J477" t="s">
        <v>1862</v>
      </c>
    </row>
    <row r="478" spans="1:14" x14ac:dyDescent="0.35">
      <c r="B478" t="s">
        <v>2403</v>
      </c>
      <c r="C478" t="s">
        <v>1864</v>
      </c>
      <c r="H478">
        <v>13</v>
      </c>
      <c r="J478" t="s">
        <v>2226</v>
      </c>
      <c r="K478" t="s">
        <v>2261</v>
      </c>
      <c r="L478" t="s">
        <v>2262</v>
      </c>
      <c r="M478" t="s">
        <v>663</v>
      </c>
    </row>
    <row r="479" spans="1:14" x14ac:dyDescent="0.35">
      <c r="B479" t="s">
        <v>2404</v>
      </c>
      <c r="C479" t="s">
        <v>1867</v>
      </c>
      <c r="H479">
        <v>21</v>
      </c>
      <c r="J479" t="s">
        <v>1667</v>
      </c>
      <c r="K479" t="s">
        <v>2263</v>
      </c>
      <c r="L479" t="s">
        <v>2264</v>
      </c>
      <c r="M479" t="s">
        <v>2265</v>
      </c>
      <c r="N479" t="s">
        <v>2266</v>
      </c>
    </row>
    <row r="480" spans="1:14" x14ac:dyDescent="0.35">
      <c r="B480" t="s">
        <v>2405</v>
      </c>
      <c r="C480" t="s">
        <v>514</v>
      </c>
      <c r="H480">
        <v>28</v>
      </c>
      <c r="J480" t="s">
        <v>514</v>
      </c>
    </row>
    <row r="481" spans="2:21" x14ac:dyDescent="0.35">
      <c r="B481" t="s">
        <v>2406</v>
      </c>
      <c r="C481" t="s">
        <v>1870</v>
      </c>
      <c r="H481">
        <v>30</v>
      </c>
      <c r="J481" t="s">
        <v>1870</v>
      </c>
    </row>
    <row r="482" spans="2:21" x14ac:dyDescent="0.35">
      <c r="B482" t="s">
        <v>2407</v>
      </c>
      <c r="C482" t="s">
        <v>1872</v>
      </c>
      <c r="F482" t="s">
        <v>2526</v>
      </c>
      <c r="H482">
        <v>32</v>
      </c>
      <c r="J482" t="s">
        <v>357</v>
      </c>
      <c r="K482" t="s">
        <v>2267</v>
      </c>
      <c r="L482" t="s">
        <v>2268</v>
      </c>
    </row>
    <row r="483" spans="2:21" x14ac:dyDescent="0.35">
      <c r="B483" t="s">
        <v>2408</v>
      </c>
      <c r="C483" t="s">
        <v>1874</v>
      </c>
      <c r="H483">
        <v>40</v>
      </c>
      <c r="J483" t="s">
        <v>1522</v>
      </c>
      <c r="K483" t="s">
        <v>1594</v>
      </c>
    </row>
    <row r="484" spans="2:21" x14ac:dyDescent="0.35">
      <c r="B484" t="s">
        <v>2409</v>
      </c>
      <c r="C484" t="s">
        <v>1876</v>
      </c>
      <c r="H484">
        <v>48</v>
      </c>
      <c r="J484" t="s">
        <v>2227</v>
      </c>
      <c r="K484" t="s">
        <v>2269</v>
      </c>
      <c r="L484" t="s">
        <v>2270</v>
      </c>
    </row>
    <row r="485" spans="2:21" x14ac:dyDescent="0.35">
      <c r="B485" t="s">
        <v>2410</v>
      </c>
      <c r="C485" t="s">
        <v>1878</v>
      </c>
      <c r="H485">
        <v>50</v>
      </c>
      <c r="J485" t="s">
        <v>525</v>
      </c>
      <c r="K485" t="s">
        <v>2271</v>
      </c>
      <c r="L485" t="s">
        <v>526</v>
      </c>
    </row>
    <row r="486" spans="2:21" x14ac:dyDescent="0.35">
      <c r="B486" t="s">
        <v>2411</v>
      </c>
      <c r="C486" t="s">
        <v>1880</v>
      </c>
      <c r="H486">
        <v>52</v>
      </c>
      <c r="J486" t="s">
        <v>1689</v>
      </c>
      <c r="K486" t="s">
        <v>569</v>
      </c>
      <c r="L486" t="s">
        <v>2272</v>
      </c>
    </row>
    <row r="487" spans="2:21" x14ac:dyDescent="0.35">
      <c r="B487" t="s">
        <v>2412</v>
      </c>
      <c r="C487" t="s">
        <v>2091</v>
      </c>
      <c r="H487">
        <v>60</v>
      </c>
      <c r="J487" t="s">
        <v>2228</v>
      </c>
      <c r="K487" t="s">
        <v>2273</v>
      </c>
      <c r="L487" t="s">
        <v>531</v>
      </c>
      <c r="M487" t="s">
        <v>1552</v>
      </c>
      <c r="N487" t="s">
        <v>533</v>
      </c>
      <c r="O487" t="s">
        <v>532</v>
      </c>
      <c r="P487" t="s">
        <v>534</v>
      </c>
    </row>
    <row r="488" spans="2:21" x14ac:dyDescent="0.35">
      <c r="B488" t="s">
        <v>2413</v>
      </c>
      <c r="C488" t="s">
        <v>1886</v>
      </c>
      <c r="H488">
        <v>68</v>
      </c>
      <c r="J488" t="s">
        <v>2274</v>
      </c>
      <c r="K488" t="s">
        <v>2275</v>
      </c>
    </row>
    <row r="489" spans="2:21" x14ac:dyDescent="0.35">
      <c r="B489" t="s">
        <v>2414</v>
      </c>
      <c r="C489" t="s">
        <v>1888</v>
      </c>
      <c r="H489">
        <v>70</v>
      </c>
      <c r="J489" t="s">
        <v>516</v>
      </c>
      <c r="K489" t="s">
        <v>2276</v>
      </c>
      <c r="L489" t="s">
        <v>2277</v>
      </c>
      <c r="M489" t="s">
        <v>2278</v>
      </c>
    </row>
    <row r="490" spans="2:21" x14ac:dyDescent="0.35">
      <c r="B490" t="s">
        <v>2415</v>
      </c>
      <c r="C490" t="s">
        <v>1890</v>
      </c>
      <c r="F490" t="s">
        <v>2527</v>
      </c>
      <c r="H490">
        <v>72</v>
      </c>
      <c r="J490" t="s">
        <v>2279</v>
      </c>
      <c r="K490" t="s">
        <v>2280</v>
      </c>
    </row>
    <row r="491" spans="2:21" x14ac:dyDescent="0.35">
      <c r="B491" t="s">
        <v>2416</v>
      </c>
      <c r="C491" t="s">
        <v>1893</v>
      </c>
      <c r="H491">
        <v>79</v>
      </c>
      <c r="J491" t="s">
        <v>2281</v>
      </c>
      <c r="K491" t="s">
        <v>345</v>
      </c>
    </row>
    <row r="492" spans="2:21" x14ac:dyDescent="0.35">
      <c r="B492" t="s">
        <v>2417</v>
      </c>
      <c r="C492" t="s">
        <v>1895</v>
      </c>
      <c r="H492">
        <v>87</v>
      </c>
      <c r="J492" t="s">
        <v>2229</v>
      </c>
      <c r="K492" t="s">
        <v>2282</v>
      </c>
      <c r="L492" t="s">
        <v>2283</v>
      </c>
      <c r="M492" t="s">
        <v>2284</v>
      </c>
      <c r="N492" t="s">
        <v>1850</v>
      </c>
    </row>
    <row r="493" spans="2:21" x14ac:dyDescent="0.35">
      <c r="B493" t="s">
        <v>2418</v>
      </c>
      <c r="C493" t="s">
        <v>2093</v>
      </c>
      <c r="H493">
        <v>95</v>
      </c>
      <c r="J493" t="s">
        <v>1645</v>
      </c>
      <c r="K493" t="s">
        <v>1641</v>
      </c>
      <c r="L493" t="s">
        <v>1649</v>
      </c>
      <c r="M493" t="s">
        <v>1648</v>
      </c>
      <c r="N493" t="s">
        <v>1638</v>
      </c>
      <c r="O493" t="s">
        <v>1642</v>
      </c>
      <c r="P493" t="s">
        <v>1646</v>
      </c>
      <c r="Q493" t="s">
        <v>411</v>
      </c>
      <c r="R493" t="s">
        <v>1643</v>
      </c>
      <c r="S493" t="s">
        <v>1647</v>
      </c>
      <c r="T493" t="s">
        <v>2285</v>
      </c>
      <c r="U493" t="s">
        <v>468</v>
      </c>
    </row>
    <row r="494" spans="2:21" x14ac:dyDescent="0.35">
      <c r="B494" t="s">
        <v>2419</v>
      </c>
      <c r="C494" t="s">
        <v>2094</v>
      </c>
      <c r="H494">
        <v>103</v>
      </c>
      <c r="J494" t="s">
        <v>2230</v>
      </c>
      <c r="K494" t="s">
        <v>2286</v>
      </c>
      <c r="L494" t="s">
        <v>2287</v>
      </c>
      <c r="M494" t="s">
        <v>2288</v>
      </c>
      <c r="N494" t="s">
        <v>2289</v>
      </c>
      <c r="O494" t="s">
        <v>2290</v>
      </c>
      <c r="P494" t="s">
        <v>2291</v>
      </c>
      <c r="Q494" t="s">
        <v>2292</v>
      </c>
      <c r="R494" t="s">
        <v>2293</v>
      </c>
    </row>
    <row r="495" spans="2:21" x14ac:dyDescent="0.35">
      <c r="B495" t="s">
        <v>2420</v>
      </c>
      <c r="C495" t="s">
        <v>169</v>
      </c>
      <c r="F495" t="s">
        <v>2528</v>
      </c>
      <c r="H495">
        <v>111</v>
      </c>
      <c r="J495" t="s">
        <v>169</v>
      </c>
    </row>
    <row r="496" spans="2:21" x14ac:dyDescent="0.35">
      <c r="B496" t="s">
        <v>2421</v>
      </c>
      <c r="C496" t="s">
        <v>1904</v>
      </c>
      <c r="H496">
        <v>119</v>
      </c>
      <c r="J496" t="s">
        <v>806</v>
      </c>
      <c r="K496" t="s">
        <v>2294</v>
      </c>
      <c r="L496" t="s">
        <v>479</v>
      </c>
    </row>
    <row r="497" spans="2:14" x14ac:dyDescent="0.35">
      <c r="B497" t="s">
        <v>2422</v>
      </c>
      <c r="C497" t="s">
        <v>1906</v>
      </c>
      <c r="H497">
        <v>127</v>
      </c>
      <c r="J497" t="s">
        <v>2231</v>
      </c>
      <c r="K497" t="s">
        <v>2294</v>
      </c>
      <c r="L497" t="s">
        <v>479</v>
      </c>
    </row>
    <row r="498" spans="2:14" x14ac:dyDescent="0.35">
      <c r="B498" t="s">
        <v>2423</v>
      </c>
      <c r="C498" t="s">
        <v>1909</v>
      </c>
      <c r="F498" t="s">
        <v>2529</v>
      </c>
      <c r="H498">
        <v>135</v>
      </c>
      <c r="J498" t="s">
        <v>2232</v>
      </c>
      <c r="K498" t="s">
        <v>178</v>
      </c>
      <c r="L498" t="s">
        <v>2295</v>
      </c>
      <c r="M498" t="s">
        <v>2296</v>
      </c>
    </row>
    <row r="499" spans="2:14" x14ac:dyDescent="0.35">
      <c r="B499" t="s">
        <v>2424</v>
      </c>
      <c r="C499" t="s">
        <v>1911</v>
      </c>
      <c r="H499">
        <v>143</v>
      </c>
      <c r="J499" t="s">
        <v>2297</v>
      </c>
      <c r="K499" t="s">
        <v>178</v>
      </c>
    </row>
    <row r="500" spans="2:14" x14ac:dyDescent="0.35">
      <c r="B500" t="s">
        <v>2425</v>
      </c>
      <c r="C500" t="s">
        <v>1913</v>
      </c>
      <c r="H500">
        <v>145</v>
      </c>
      <c r="J500" t="s">
        <v>2233</v>
      </c>
      <c r="K500" t="s">
        <v>2298</v>
      </c>
      <c r="L500" t="s">
        <v>2299</v>
      </c>
    </row>
    <row r="501" spans="2:14" x14ac:dyDescent="0.35">
      <c r="B501" t="s">
        <v>2426</v>
      </c>
      <c r="C501" t="s">
        <v>1915</v>
      </c>
      <c r="H501">
        <v>153</v>
      </c>
      <c r="J501" t="s">
        <v>2300</v>
      </c>
      <c r="K501" t="s">
        <v>1695</v>
      </c>
    </row>
    <row r="502" spans="2:14" x14ac:dyDescent="0.35">
      <c r="B502" t="s">
        <v>2427</v>
      </c>
      <c r="C502" t="s">
        <v>1356</v>
      </c>
      <c r="H502">
        <v>161</v>
      </c>
      <c r="J502" t="s">
        <v>1652</v>
      </c>
      <c r="K502" t="s">
        <v>439</v>
      </c>
    </row>
    <row r="503" spans="2:14" x14ac:dyDescent="0.35">
      <c r="B503" t="s">
        <v>2428</v>
      </c>
      <c r="C503" t="s">
        <v>1919</v>
      </c>
      <c r="H503">
        <v>163</v>
      </c>
      <c r="J503" t="s">
        <v>2301</v>
      </c>
      <c r="K503" t="s">
        <v>178</v>
      </c>
    </row>
    <row r="504" spans="2:14" x14ac:dyDescent="0.35">
      <c r="B504" t="s">
        <v>2429</v>
      </c>
      <c r="C504" t="s">
        <v>1921</v>
      </c>
      <c r="H504">
        <v>171</v>
      </c>
      <c r="J504" t="s">
        <v>1799</v>
      </c>
      <c r="K504" t="s">
        <v>1638</v>
      </c>
      <c r="L504" t="s">
        <v>2302</v>
      </c>
    </row>
    <row r="505" spans="2:14" x14ac:dyDescent="0.35">
      <c r="B505" t="s">
        <v>2430</v>
      </c>
      <c r="C505" t="s">
        <v>1923</v>
      </c>
      <c r="H505">
        <v>179</v>
      </c>
      <c r="J505" t="s">
        <v>437</v>
      </c>
      <c r="K505" t="s">
        <v>2303</v>
      </c>
    </row>
    <row r="506" spans="2:14" x14ac:dyDescent="0.35">
      <c r="B506" t="s">
        <v>2431</v>
      </c>
      <c r="C506" t="s">
        <v>1925</v>
      </c>
      <c r="H506">
        <v>187</v>
      </c>
      <c r="J506" t="s">
        <v>2304</v>
      </c>
      <c r="K506" t="s">
        <v>2305</v>
      </c>
    </row>
    <row r="507" spans="2:14" x14ac:dyDescent="0.35">
      <c r="B507" t="s">
        <v>2432</v>
      </c>
      <c r="C507" t="s">
        <v>1928</v>
      </c>
      <c r="F507" t="s">
        <v>2530</v>
      </c>
      <c r="H507">
        <v>195</v>
      </c>
      <c r="J507" t="s">
        <v>1679</v>
      </c>
      <c r="K507" t="s">
        <v>2306</v>
      </c>
      <c r="L507" t="s">
        <v>2307</v>
      </c>
      <c r="M507" t="s">
        <v>1680</v>
      </c>
    </row>
    <row r="508" spans="2:14" x14ac:dyDescent="0.35">
      <c r="B508" t="s">
        <v>2433</v>
      </c>
      <c r="C508" t="s">
        <v>1930</v>
      </c>
      <c r="H508">
        <v>203</v>
      </c>
      <c r="J508" t="s">
        <v>2234</v>
      </c>
      <c r="K508" t="s">
        <v>2308</v>
      </c>
      <c r="L508" t="s">
        <v>2309</v>
      </c>
      <c r="M508" t="s">
        <v>2310</v>
      </c>
    </row>
    <row r="509" spans="2:14" x14ac:dyDescent="0.35">
      <c r="B509" t="s">
        <v>2434</v>
      </c>
      <c r="C509" t="s">
        <v>1932</v>
      </c>
      <c r="H509">
        <v>211</v>
      </c>
      <c r="J509" t="s">
        <v>2235</v>
      </c>
      <c r="K509" t="s">
        <v>896</v>
      </c>
      <c r="L509" t="s">
        <v>699</v>
      </c>
      <c r="M509" t="s">
        <v>2311</v>
      </c>
      <c r="N509" t="s">
        <v>868</v>
      </c>
    </row>
    <row r="510" spans="2:14" x14ac:dyDescent="0.35">
      <c r="B510" t="s">
        <v>2435</v>
      </c>
      <c r="C510" t="s">
        <v>1387</v>
      </c>
      <c r="H510">
        <v>218</v>
      </c>
      <c r="J510" t="s">
        <v>1555</v>
      </c>
      <c r="K510" t="s">
        <v>1696</v>
      </c>
      <c r="L510" t="s">
        <v>1553</v>
      </c>
      <c r="M510" t="s">
        <v>1692</v>
      </c>
    </row>
    <row r="511" spans="2:14" x14ac:dyDescent="0.35">
      <c r="B511" t="s">
        <v>2436</v>
      </c>
      <c r="C511" t="s">
        <v>1936</v>
      </c>
      <c r="H511">
        <v>220</v>
      </c>
      <c r="J511" t="s">
        <v>2312</v>
      </c>
      <c r="K511" t="s">
        <v>2313</v>
      </c>
    </row>
    <row r="512" spans="2:14" x14ac:dyDescent="0.35">
      <c r="B512" t="s">
        <v>2437</v>
      </c>
      <c r="C512" t="s">
        <v>1938</v>
      </c>
      <c r="H512">
        <v>228</v>
      </c>
      <c r="J512" t="s">
        <v>2236</v>
      </c>
      <c r="K512" t="s">
        <v>2314</v>
      </c>
      <c r="L512" t="s">
        <v>2315</v>
      </c>
    </row>
    <row r="513" spans="2:13" x14ac:dyDescent="0.35">
      <c r="B513" t="s">
        <v>2438</v>
      </c>
      <c r="C513" t="s">
        <v>1940</v>
      </c>
      <c r="H513">
        <v>236</v>
      </c>
      <c r="J513" t="s">
        <v>325</v>
      </c>
      <c r="K513" t="s">
        <v>1667</v>
      </c>
    </row>
    <row r="514" spans="2:13" x14ac:dyDescent="0.35">
      <c r="B514" t="s">
        <v>2439</v>
      </c>
      <c r="C514" t="s">
        <v>1943</v>
      </c>
      <c r="H514">
        <v>243</v>
      </c>
      <c r="J514" t="s">
        <v>829</v>
      </c>
      <c r="K514" t="s">
        <v>2316</v>
      </c>
      <c r="L514" t="s">
        <v>567</v>
      </c>
    </row>
    <row r="515" spans="2:13" x14ac:dyDescent="0.35">
      <c r="B515" t="s">
        <v>2440</v>
      </c>
      <c r="C515" t="s">
        <v>1945</v>
      </c>
      <c r="F515" t="s">
        <v>2531</v>
      </c>
      <c r="H515">
        <v>245</v>
      </c>
      <c r="J515" t="s">
        <v>442</v>
      </c>
      <c r="K515" t="s">
        <v>2317</v>
      </c>
    </row>
    <row r="516" spans="2:13" x14ac:dyDescent="0.35">
      <c r="B516" t="s">
        <v>2441</v>
      </c>
      <c r="C516" t="s">
        <v>1947</v>
      </c>
      <c r="H516">
        <v>247</v>
      </c>
      <c r="J516" t="s">
        <v>610</v>
      </c>
      <c r="K516" t="s">
        <v>1524</v>
      </c>
      <c r="L516" t="s">
        <v>567</v>
      </c>
      <c r="M516" t="s">
        <v>494</v>
      </c>
    </row>
    <row r="517" spans="2:13" x14ac:dyDescent="0.35">
      <c r="B517" t="s">
        <v>2442</v>
      </c>
      <c r="C517" t="s">
        <v>1949</v>
      </c>
      <c r="H517">
        <v>255</v>
      </c>
      <c r="J517" t="s">
        <v>179</v>
      </c>
      <c r="K517" t="s">
        <v>1554</v>
      </c>
      <c r="L517" t="s">
        <v>592</v>
      </c>
    </row>
    <row r="518" spans="2:13" x14ac:dyDescent="0.35">
      <c r="B518" t="s">
        <v>2443</v>
      </c>
      <c r="C518" t="s">
        <v>1951</v>
      </c>
      <c r="H518">
        <v>263</v>
      </c>
      <c r="J518" t="s">
        <v>2318</v>
      </c>
      <c r="K518" t="s">
        <v>2319</v>
      </c>
    </row>
    <row r="519" spans="2:13" x14ac:dyDescent="0.35">
      <c r="B519" t="s">
        <v>2444</v>
      </c>
      <c r="C519" t="s">
        <v>1953</v>
      </c>
      <c r="H519">
        <v>271</v>
      </c>
      <c r="J519" t="s">
        <v>2320</v>
      </c>
      <c r="K519" t="s">
        <v>1305</v>
      </c>
    </row>
    <row r="520" spans="2:13" x14ac:dyDescent="0.35">
      <c r="B520" t="s">
        <v>2445</v>
      </c>
      <c r="C520" t="s">
        <v>1955</v>
      </c>
      <c r="H520">
        <v>278</v>
      </c>
      <c r="J520" t="s">
        <v>2237</v>
      </c>
      <c r="K520" t="s">
        <v>2321</v>
      </c>
      <c r="L520" t="s">
        <v>540</v>
      </c>
    </row>
    <row r="521" spans="2:13" x14ac:dyDescent="0.35">
      <c r="B521" t="s">
        <v>2446</v>
      </c>
      <c r="C521" t="s">
        <v>634</v>
      </c>
      <c r="H521">
        <v>280</v>
      </c>
      <c r="J521" t="s">
        <v>634</v>
      </c>
    </row>
    <row r="522" spans="2:13" x14ac:dyDescent="0.35">
      <c r="B522" t="s">
        <v>2447</v>
      </c>
      <c r="C522" t="s">
        <v>1958</v>
      </c>
      <c r="H522">
        <v>282</v>
      </c>
      <c r="J522" t="s">
        <v>2238</v>
      </c>
      <c r="K522" t="s">
        <v>2322</v>
      </c>
      <c r="L522" t="s">
        <v>2323</v>
      </c>
    </row>
    <row r="523" spans="2:13" x14ac:dyDescent="0.35">
      <c r="B523" t="s">
        <v>2448</v>
      </c>
      <c r="C523" t="s">
        <v>1960</v>
      </c>
      <c r="H523">
        <v>284</v>
      </c>
      <c r="J523" t="s">
        <v>2239</v>
      </c>
      <c r="K523" t="s">
        <v>2324</v>
      </c>
      <c r="L523" t="s">
        <v>2325</v>
      </c>
    </row>
    <row r="524" spans="2:13" x14ac:dyDescent="0.35">
      <c r="B524" t="s">
        <v>2449</v>
      </c>
      <c r="C524" t="s">
        <v>1088</v>
      </c>
      <c r="H524">
        <v>292</v>
      </c>
      <c r="J524" t="s">
        <v>1088</v>
      </c>
    </row>
    <row r="525" spans="2:13" x14ac:dyDescent="0.35">
      <c r="B525" t="s">
        <v>2450</v>
      </c>
      <c r="C525" t="s">
        <v>1326</v>
      </c>
      <c r="F525" t="s">
        <v>2532</v>
      </c>
      <c r="H525">
        <v>300</v>
      </c>
      <c r="J525" t="s">
        <v>1326</v>
      </c>
    </row>
    <row r="526" spans="2:13" x14ac:dyDescent="0.35">
      <c r="B526" t="s">
        <v>2451</v>
      </c>
      <c r="C526" t="s">
        <v>1964</v>
      </c>
      <c r="H526">
        <v>308</v>
      </c>
      <c r="J526" t="s">
        <v>2326</v>
      </c>
      <c r="K526" t="s">
        <v>2327</v>
      </c>
    </row>
    <row r="527" spans="2:13" x14ac:dyDescent="0.35">
      <c r="B527" t="s">
        <v>2452</v>
      </c>
      <c r="C527" t="s">
        <v>1966</v>
      </c>
      <c r="H527">
        <v>316</v>
      </c>
      <c r="J527" t="s">
        <v>704</v>
      </c>
      <c r="K527" t="s">
        <v>178</v>
      </c>
      <c r="L527" t="s">
        <v>824</v>
      </c>
    </row>
    <row r="528" spans="2:13" x14ac:dyDescent="0.35">
      <c r="B528" t="s">
        <v>2453</v>
      </c>
      <c r="C528" t="s">
        <v>1968</v>
      </c>
      <c r="H528">
        <v>324</v>
      </c>
      <c r="J528" t="s">
        <v>2240</v>
      </c>
      <c r="K528" t="s">
        <v>601</v>
      </c>
      <c r="L528" t="s">
        <v>903</v>
      </c>
      <c r="M528" t="s">
        <v>2328</v>
      </c>
    </row>
    <row r="529" spans="2:14" x14ac:dyDescent="0.35">
      <c r="B529" t="s">
        <v>2454</v>
      </c>
      <c r="C529" t="s">
        <v>1970</v>
      </c>
      <c r="H529">
        <v>331</v>
      </c>
      <c r="J529" t="s">
        <v>178</v>
      </c>
      <c r="K529" t="s">
        <v>2329</v>
      </c>
      <c r="L529" t="s">
        <v>2330</v>
      </c>
      <c r="M529" t="s">
        <v>704</v>
      </c>
      <c r="N529" t="s">
        <v>824</v>
      </c>
    </row>
    <row r="530" spans="2:14" x14ac:dyDescent="0.35">
      <c r="B530" t="s">
        <v>2455</v>
      </c>
      <c r="C530" t="s">
        <v>1972</v>
      </c>
      <c r="H530">
        <v>333</v>
      </c>
      <c r="J530" t="s">
        <v>2241</v>
      </c>
      <c r="K530" t="s">
        <v>2331</v>
      </c>
      <c r="L530" t="s">
        <v>864</v>
      </c>
    </row>
    <row r="531" spans="2:14" x14ac:dyDescent="0.35">
      <c r="B531" t="s">
        <v>2456</v>
      </c>
      <c r="C531" t="s">
        <v>1974</v>
      </c>
      <c r="F531" t="s">
        <v>2533</v>
      </c>
      <c r="H531">
        <v>341</v>
      </c>
      <c r="J531" t="s">
        <v>2242</v>
      </c>
      <c r="K531" t="s">
        <v>2268</v>
      </c>
      <c r="L531" t="s">
        <v>2332</v>
      </c>
      <c r="M531" t="s">
        <v>357</v>
      </c>
      <c r="N531" t="s">
        <v>1862</v>
      </c>
    </row>
    <row r="532" spans="2:14" x14ac:dyDescent="0.35">
      <c r="B532" t="s">
        <v>2457</v>
      </c>
      <c r="C532" t="s">
        <v>1976</v>
      </c>
      <c r="H532">
        <v>349</v>
      </c>
      <c r="J532" t="s">
        <v>2243</v>
      </c>
      <c r="K532" t="s">
        <v>1793</v>
      </c>
      <c r="L532" t="s">
        <v>1794</v>
      </c>
    </row>
    <row r="533" spans="2:14" x14ac:dyDescent="0.35">
      <c r="B533" t="s">
        <v>2458</v>
      </c>
      <c r="C533" t="s">
        <v>1978</v>
      </c>
      <c r="H533">
        <v>357</v>
      </c>
      <c r="J533" t="s">
        <v>2333</v>
      </c>
      <c r="K533" t="s">
        <v>2334</v>
      </c>
    </row>
    <row r="534" spans="2:14" x14ac:dyDescent="0.35">
      <c r="B534" t="s">
        <v>2459</v>
      </c>
      <c r="C534" t="s">
        <v>430</v>
      </c>
      <c r="H534">
        <v>365</v>
      </c>
      <c r="J534" t="s">
        <v>430</v>
      </c>
    </row>
    <row r="535" spans="2:14" x14ac:dyDescent="0.35">
      <c r="B535" t="s">
        <v>2460</v>
      </c>
      <c r="C535" t="s">
        <v>1981</v>
      </c>
      <c r="H535">
        <v>372</v>
      </c>
      <c r="J535" t="s">
        <v>421</v>
      </c>
      <c r="K535" t="s">
        <v>429</v>
      </c>
    </row>
    <row r="536" spans="2:14" x14ac:dyDescent="0.35">
      <c r="B536" t="s">
        <v>2461</v>
      </c>
      <c r="C536" t="s">
        <v>1983</v>
      </c>
      <c r="H536">
        <v>380</v>
      </c>
      <c r="J536" t="s">
        <v>2244</v>
      </c>
      <c r="K536" t="s">
        <v>2335</v>
      </c>
      <c r="L536" t="s">
        <v>2336</v>
      </c>
    </row>
    <row r="537" spans="2:14" x14ac:dyDescent="0.35">
      <c r="B537" t="s">
        <v>2462</v>
      </c>
      <c r="C537" t="s">
        <v>1985</v>
      </c>
      <c r="H537">
        <v>388</v>
      </c>
      <c r="J537" t="s">
        <v>2337</v>
      </c>
      <c r="K537" t="s">
        <v>2338</v>
      </c>
    </row>
    <row r="538" spans="2:14" x14ac:dyDescent="0.35">
      <c r="B538" t="s">
        <v>2463</v>
      </c>
      <c r="C538" t="s">
        <v>1987</v>
      </c>
      <c r="H538">
        <v>396</v>
      </c>
      <c r="J538" t="s">
        <v>823</v>
      </c>
      <c r="K538" t="s">
        <v>527</v>
      </c>
    </row>
    <row r="539" spans="2:14" x14ac:dyDescent="0.35">
      <c r="B539" t="s">
        <v>2464</v>
      </c>
      <c r="C539" t="s">
        <v>1989</v>
      </c>
      <c r="H539">
        <v>404</v>
      </c>
      <c r="J539" t="s">
        <v>584</v>
      </c>
      <c r="K539" t="s">
        <v>2339</v>
      </c>
      <c r="L539" t="s">
        <v>2340</v>
      </c>
    </row>
    <row r="540" spans="2:14" x14ac:dyDescent="0.35">
      <c r="B540" t="s">
        <v>2465</v>
      </c>
      <c r="C540" t="s">
        <v>514</v>
      </c>
      <c r="H540">
        <v>412</v>
      </c>
      <c r="J540" t="s">
        <v>514</v>
      </c>
    </row>
    <row r="541" spans="2:14" x14ac:dyDescent="0.35">
      <c r="B541" t="s">
        <v>2466</v>
      </c>
      <c r="C541" t="s">
        <v>1992</v>
      </c>
      <c r="H541">
        <v>414</v>
      </c>
      <c r="J541" t="s">
        <v>2245</v>
      </c>
      <c r="K541" t="s">
        <v>2341</v>
      </c>
      <c r="L541" t="s">
        <v>2342</v>
      </c>
      <c r="M541" t="s">
        <v>2343</v>
      </c>
    </row>
    <row r="542" spans="2:14" x14ac:dyDescent="0.35">
      <c r="B542" t="s">
        <v>2467</v>
      </c>
      <c r="C542" t="s">
        <v>1994</v>
      </c>
      <c r="F542" t="s">
        <v>2534</v>
      </c>
      <c r="H542">
        <v>416</v>
      </c>
      <c r="J542" t="s">
        <v>2344</v>
      </c>
      <c r="K542" t="s">
        <v>2345</v>
      </c>
    </row>
    <row r="543" spans="2:14" x14ac:dyDescent="0.35">
      <c r="B543" t="s">
        <v>2468</v>
      </c>
      <c r="C543" t="s">
        <v>1996</v>
      </c>
      <c r="H543">
        <v>424</v>
      </c>
      <c r="J543" t="s">
        <v>557</v>
      </c>
      <c r="K543" t="s">
        <v>554</v>
      </c>
      <c r="L543" t="s">
        <v>2346</v>
      </c>
      <c r="M543" t="s">
        <v>1822</v>
      </c>
      <c r="N543" t="s">
        <v>556</v>
      </c>
    </row>
    <row r="544" spans="2:14" x14ac:dyDescent="0.35">
      <c r="B544" t="s">
        <v>2469</v>
      </c>
      <c r="C544" t="s">
        <v>1059</v>
      </c>
      <c r="H544">
        <v>432</v>
      </c>
      <c r="J544" t="s">
        <v>1265</v>
      </c>
      <c r="K544" t="s">
        <v>494</v>
      </c>
    </row>
    <row r="545" spans="2:18" x14ac:dyDescent="0.35">
      <c r="B545" t="s">
        <v>2470</v>
      </c>
      <c r="C545" t="s">
        <v>1999</v>
      </c>
      <c r="H545">
        <v>440</v>
      </c>
      <c r="J545" t="s">
        <v>2347</v>
      </c>
      <c r="K545" t="s">
        <v>2348</v>
      </c>
    </row>
    <row r="546" spans="2:18" x14ac:dyDescent="0.35">
      <c r="B546" t="s">
        <v>2471</v>
      </c>
      <c r="C546" t="s">
        <v>2001</v>
      </c>
      <c r="H546">
        <v>448</v>
      </c>
      <c r="J546" t="s">
        <v>2349</v>
      </c>
      <c r="K546" t="s">
        <v>345</v>
      </c>
    </row>
    <row r="547" spans="2:18" x14ac:dyDescent="0.35">
      <c r="B547" t="s">
        <v>2472</v>
      </c>
      <c r="C547" t="s">
        <v>2004</v>
      </c>
      <c r="H547">
        <v>454</v>
      </c>
      <c r="J547" t="s">
        <v>162</v>
      </c>
      <c r="K547" t="s">
        <v>2350</v>
      </c>
    </row>
    <row r="548" spans="2:18" x14ac:dyDescent="0.35">
      <c r="B548" t="s">
        <v>2473</v>
      </c>
      <c r="C548" t="s">
        <v>177</v>
      </c>
      <c r="H548">
        <v>461</v>
      </c>
      <c r="J548" t="s">
        <v>419</v>
      </c>
      <c r="K548" t="s">
        <v>341</v>
      </c>
      <c r="L548" t="s">
        <v>502</v>
      </c>
    </row>
    <row r="549" spans="2:18" x14ac:dyDescent="0.35">
      <c r="B549" t="s">
        <v>2474</v>
      </c>
      <c r="C549" t="s">
        <v>2102</v>
      </c>
      <c r="F549" t="s">
        <v>2535</v>
      </c>
      <c r="H549">
        <v>463</v>
      </c>
      <c r="J549" t="s">
        <v>2246</v>
      </c>
      <c r="K549" t="s">
        <v>2351</v>
      </c>
      <c r="L549" t="s">
        <v>2352</v>
      </c>
      <c r="M549" t="s">
        <v>2353</v>
      </c>
      <c r="N549" t="s">
        <v>1814</v>
      </c>
      <c r="O549" t="s">
        <v>1813</v>
      </c>
    </row>
    <row r="550" spans="2:18" x14ac:dyDescent="0.35">
      <c r="B550" t="s">
        <v>2475</v>
      </c>
      <c r="C550" t="s">
        <v>2103</v>
      </c>
      <c r="H550">
        <v>465</v>
      </c>
      <c r="J550" t="s">
        <v>2247</v>
      </c>
      <c r="K550" t="s">
        <v>2354</v>
      </c>
      <c r="L550" t="s">
        <v>2355</v>
      </c>
      <c r="M550" t="s">
        <v>2356</v>
      </c>
      <c r="N550" t="s">
        <v>2357</v>
      </c>
      <c r="O550" t="s">
        <v>2358</v>
      </c>
      <c r="P550" t="s">
        <v>2359</v>
      </c>
      <c r="Q550" t="s">
        <v>2360</v>
      </c>
      <c r="R550" t="s">
        <v>2361</v>
      </c>
    </row>
    <row r="551" spans="2:18" x14ac:dyDescent="0.35">
      <c r="B551" t="s">
        <v>2476</v>
      </c>
      <c r="C551" t="s">
        <v>2014</v>
      </c>
      <c r="H551">
        <v>467</v>
      </c>
      <c r="J551" t="s">
        <v>2248</v>
      </c>
      <c r="K551" t="s">
        <v>2362</v>
      </c>
      <c r="L551" t="s">
        <v>2305</v>
      </c>
      <c r="M551" t="s">
        <v>2363</v>
      </c>
    </row>
    <row r="552" spans="2:18" x14ac:dyDescent="0.35">
      <c r="B552" t="s">
        <v>2477</v>
      </c>
      <c r="C552" t="s">
        <v>2017</v>
      </c>
      <c r="H552">
        <v>475</v>
      </c>
      <c r="J552" t="s">
        <v>2249</v>
      </c>
      <c r="K552" t="s">
        <v>2364</v>
      </c>
      <c r="L552" t="s">
        <v>2365</v>
      </c>
    </row>
    <row r="553" spans="2:18" x14ac:dyDescent="0.35">
      <c r="B553" t="s">
        <v>2478</v>
      </c>
      <c r="C553" t="s">
        <v>2020</v>
      </c>
      <c r="H553">
        <v>477</v>
      </c>
      <c r="J553" t="s">
        <v>2250</v>
      </c>
      <c r="K553" t="s">
        <v>2366</v>
      </c>
      <c r="L553" t="s">
        <v>2367</v>
      </c>
      <c r="M553" t="s">
        <v>2368</v>
      </c>
    </row>
    <row r="554" spans="2:18" x14ac:dyDescent="0.35">
      <c r="B554" t="s">
        <v>2479</v>
      </c>
      <c r="C554" t="s">
        <v>1060</v>
      </c>
      <c r="H554">
        <v>485</v>
      </c>
      <c r="J554" t="s">
        <v>1266</v>
      </c>
      <c r="K554" t="s">
        <v>1810</v>
      </c>
    </row>
    <row r="555" spans="2:18" x14ac:dyDescent="0.35">
      <c r="B555" t="s">
        <v>2480</v>
      </c>
      <c r="C555" t="s">
        <v>2023</v>
      </c>
      <c r="F555" t="s">
        <v>2536</v>
      </c>
      <c r="H555">
        <v>493</v>
      </c>
      <c r="J555" t="s">
        <v>2369</v>
      </c>
      <c r="K555" t="s">
        <v>2370</v>
      </c>
    </row>
    <row r="556" spans="2:18" x14ac:dyDescent="0.35">
      <c r="B556" t="s">
        <v>2481</v>
      </c>
      <c r="C556" t="s">
        <v>2025</v>
      </c>
      <c r="H556">
        <v>495</v>
      </c>
      <c r="J556" t="s">
        <v>2025</v>
      </c>
    </row>
    <row r="557" spans="2:18" x14ac:dyDescent="0.35">
      <c r="B557" t="s">
        <v>2482</v>
      </c>
      <c r="C557" t="s">
        <v>2106</v>
      </c>
      <c r="H557">
        <v>497</v>
      </c>
      <c r="J557" t="s">
        <v>2251</v>
      </c>
      <c r="K557" t="s">
        <v>2371</v>
      </c>
      <c r="L557" t="s">
        <v>2372</v>
      </c>
      <c r="M557" t="s">
        <v>2373</v>
      </c>
      <c r="N557" t="s">
        <v>2374</v>
      </c>
      <c r="O557" t="s">
        <v>1796</v>
      </c>
    </row>
    <row r="558" spans="2:18" x14ac:dyDescent="0.35">
      <c r="B558" t="s">
        <v>2483</v>
      </c>
      <c r="C558" t="s">
        <v>2030</v>
      </c>
      <c r="H558">
        <v>505</v>
      </c>
      <c r="J558" t="s">
        <v>2252</v>
      </c>
      <c r="K558" t="s">
        <v>2375</v>
      </c>
      <c r="L558" t="s">
        <v>485</v>
      </c>
      <c r="M558" t="s">
        <v>2376</v>
      </c>
    </row>
    <row r="559" spans="2:18" x14ac:dyDescent="0.35">
      <c r="B559" t="s">
        <v>2484</v>
      </c>
      <c r="C559" t="s">
        <v>2108</v>
      </c>
      <c r="H559">
        <v>507</v>
      </c>
      <c r="J559" t="s">
        <v>686</v>
      </c>
      <c r="K559" t="s">
        <v>571</v>
      </c>
      <c r="L559" t="s">
        <v>610</v>
      </c>
      <c r="M559" t="s">
        <v>842</v>
      </c>
      <c r="N559" t="s">
        <v>2373</v>
      </c>
      <c r="O559" t="s">
        <v>806</v>
      </c>
      <c r="P559" t="s">
        <v>2377</v>
      </c>
      <c r="Q559" t="s">
        <v>567</v>
      </c>
    </row>
    <row r="560" spans="2:18" x14ac:dyDescent="0.35">
      <c r="B560" t="s">
        <v>2485</v>
      </c>
      <c r="C560" t="s">
        <v>2035</v>
      </c>
      <c r="H560">
        <v>515</v>
      </c>
      <c r="J560" t="s">
        <v>2035</v>
      </c>
    </row>
    <row r="561" spans="2:14" x14ac:dyDescent="0.35">
      <c r="B561" t="s">
        <v>2486</v>
      </c>
      <c r="C561" t="s">
        <v>2037</v>
      </c>
      <c r="H561">
        <v>523</v>
      </c>
      <c r="J561" t="s">
        <v>2037</v>
      </c>
    </row>
    <row r="562" spans="2:14" x14ac:dyDescent="0.35">
      <c r="B562" t="s">
        <v>2487</v>
      </c>
      <c r="C562" t="s">
        <v>2039</v>
      </c>
      <c r="H562">
        <v>531</v>
      </c>
      <c r="J562" t="s">
        <v>385</v>
      </c>
      <c r="K562" t="s">
        <v>525</v>
      </c>
      <c r="L562" t="s">
        <v>595</v>
      </c>
      <c r="M562" t="s">
        <v>526</v>
      </c>
    </row>
    <row r="563" spans="2:14" x14ac:dyDescent="0.35">
      <c r="B563" t="s">
        <v>2488</v>
      </c>
      <c r="C563" t="s">
        <v>2041</v>
      </c>
      <c r="H563">
        <v>533</v>
      </c>
      <c r="J563" t="s">
        <v>2253</v>
      </c>
      <c r="K563" t="s">
        <v>2378</v>
      </c>
      <c r="L563" t="s">
        <v>2379</v>
      </c>
      <c r="M563" t="s">
        <v>2380</v>
      </c>
      <c r="N563" t="s">
        <v>2381</v>
      </c>
    </row>
    <row r="564" spans="2:14" x14ac:dyDescent="0.35">
      <c r="B564" t="s">
        <v>2489</v>
      </c>
      <c r="C564" t="s">
        <v>2044</v>
      </c>
      <c r="H564">
        <v>541</v>
      </c>
      <c r="J564" t="s">
        <v>2254</v>
      </c>
      <c r="K564" t="s">
        <v>341</v>
      </c>
      <c r="L564" t="s">
        <v>502</v>
      </c>
    </row>
    <row r="565" spans="2:14" x14ac:dyDescent="0.35">
      <c r="B565" t="s">
        <v>2490</v>
      </c>
      <c r="C565" t="s">
        <v>2046</v>
      </c>
      <c r="F565" t="s">
        <v>2537</v>
      </c>
      <c r="H565">
        <v>543</v>
      </c>
      <c r="J565" t="s">
        <v>2382</v>
      </c>
      <c r="K565" t="s">
        <v>2383</v>
      </c>
    </row>
    <row r="566" spans="2:14" x14ac:dyDescent="0.35">
      <c r="B566" t="s">
        <v>2491</v>
      </c>
      <c r="C566" t="s">
        <v>1066</v>
      </c>
      <c r="H566">
        <v>551</v>
      </c>
      <c r="J566" t="s">
        <v>1269</v>
      </c>
      <c r="K566" t="s">
        <v>487</v>
      </c>
    </row>
    <row r="567" spans="2:14" x14ac:dyDescent="0.35">
      <c r="B567" t="s">
        <v>2492</v>
      </c>
      <c r="C567" t="s">
        <v>1067</v>
      </c>
      <c r="H567">
        <v>559</v>
      </c>
      <c r="J567" t="s">
        <v>1269</v>
      </c>
      <c r="K567" t="s">
        <v>1701</v>
      </c>
    </row>
    <row r="568" spans="2:14" x14ac:dyDescent="0.35">
      <c r="B568" t="s">
        <v>2493</v>
      </c>
      <c r="C568" t="s">
        <v>2050</v>
      </c>
      <c r="H568">
        <v>567</v>
      </c>
      <c r="J568" t="s">
        <v>2255</v>
      </c>
      <c r="K568" t="s">
        <v>2384</v>
      </c>
      <c r="L568" t="s">
        <v>1604</v>
      </c>
      <c r="M568" t="s">
        <v>2385</v>
      </c>
    </row>
    <row r="569" spans="2:14" x14ac:dyDescent="0.35">
      <c r="B569" t="s">
        <v>2494</v>
      </c>
      <c r="C569" t="s">
        <v>2052</v>
      </c>
      <c r="H569">
        <v>574</v>
      </c>
      <c r="J569" t="s">
        <v>1544</v>
      </c>
      <c r="K569" t="s">
        <v>625</v>
      </c>
      <c r="L569" t="s">
        <v>626</v>
      </c>
      <c r="M569" t="s">
        <v>627</v>
      </c>
    </row>
    <row r="570" spans="2:14" x14ac:dyDescent="0.35">
      <c r="B570" t="s">
        <v>2495</v>
      </c>
      <c r="C570" t="s">
        <v>2055</v>
      </c>
      <c r="H570">
        <v>582</v>
      </c>
      <c r="J570" t="s">
        <v>2386</v>
      </c>
      <c r="K570" t="s">
        <v>179</v>
      </c>
    </row>
    <row r="571" spans="2:14" x14ac:dyDescent="0.35">
      <c r="B571" t="s">
        <v>2496</v>
      </c>
      <c r="C571" t="s">
        <v>2057</v>
      </c>
      <c r="F571" t="s">
        <v>2538</v>
      </c>
      <c r="H571">
        <v>590</v>
      </c>
      <c r="J571" t="s">
        <v>2256</v>
      </c>
      <c r="K571" t="s">
        <v>528</v>
      </c>
      <c r="L571" t="s">
        <v>2387</v>
      </c>
      <c r="M571" t="s">
        <v>482</v>
      </c>
    </row>
    <row r="572" spans="2:14" x14ac:dyDescent="0.35">
      <c r="B572" t="s">
        <v>2497</v>
      </c>
      <c r="C572" t="s">
        <v>2059</v>
      </c>
      <c r="H572">
        <v>598</v>
      </c>
      <c r="J572" t="s">
        <v>1536</v>
      </c>
      <c r="K572" t="s">
        <v>555</v>
      </c>
      <c r="L572" t="s">
        <v>557</v>
      </c>
      <c r="M572" t="s">
        <v>1822</v>
      </c>
      <c r="N572" t="s">
        <v>556</v>
      </c>
    </row>
    <row r="573" spans="2:14" x14ac:dyDescent="0.35">
      <c r="B573" t="s">
        <v>2498</v>
      </c>
      <c r="C573" t="s">
        <v>2062</v>
      </c>
      <c r="H573">
        <v>606</v>
      </c>
      <c r="J573" t="s">
        <v>1553</v>
      </c>
      <c r="K573" t="s">
        <v>2388</v>
      </c>
      <c r="L573" t="s">
        <v>2389</v>
      </c>
      <c r="M573" t="s">
        <v>1692</v>
      </c>
    </row>
    <row r="574" spans="2:14" x14ac:dyDescent="0.35">
      <c r="B574" t="s">
        <v>2499</v>
      </c>
      <c r="C574" t="s">
        <v>2064</v>
      </c>
      <c r="H574">
        <v>608</v>
      </c>
      <c r="J574" t="s">
        <v>2257</v>
      </c>
      <c r="K574" t="s">
        <v>347</v>
      </c>
      <c r="L574" t="s">
        <v>2390</v>
      </c>
      <c r="M574" t="s">
        <v>2391</v>
      </c>
      <c r="N574" t="s">
        <v>1772</v>
      </c>
    </row>
    <row r="575" spans="2:14" x14ac:dyDescent="0.35">
      <c r="B575" t="s">
        <v>2500</v>
      </c>
      <c r="C575" t="s">
        <v>2113</v>
      </c>
      <c r="H575">
        <v>616</v>
      </c>
      <c r="J575" t="s">
        <v>2258</v>
      </c>
      <c r="K575" t="s">
        <v>345</v>
      </c>
      <c r="L575" t="s">
        <v>2392</v>
      </c>
      <c r="M575" t="s">
        <v>2393</v>
      </c>
    </row>
    <row r="576" spans="2:14" x14ac:dyDescent="0.35">
      <c r="B576" t="s">
        <v>2501</v>
      </c>
      <c r="C576" t="s">
        <v>2070</v>
      </c>
      <c r="H576">
        <v>624</v>
      </c>
      <c r="J576" t="s">
        <v>708</v>
      </c>
      <c r="K576" t="s">
        <v>636</v>
      </c>
    </row>
    <row r="577" spans="2:14" x14ac:dyDescent="0.35">
      <c r="B577" t="s">
        <v>2502</v>
      </c>
      <c r="C577" t="s">
        <v>2072</v>
      </c>
      <c r="H577">
        <v>626</v>
      </c>
      <c r="J577" t="s">
        <v>2072</v>
      </c>
    </row>
    <row r="578" spans="2:14" x14ac:dyDescent="0.35">
      <c r="B578" t="s">
        <v>2503</v>
      </c>
      <c r="C578" t="s">
        <v>2115</v>
      </c>
      <c r="H578">
        <v>634</v>
      </c>
      <c r="J578" t="s">
        <v>1770</v>
      </c>
      <c r="K578" t="s">
        <v>2394</v>
      </c>
      <c r="L578" t="s">
        <v>460</v>
      </c>
      <c r="M578" t="s">
        <v>2395</v>
      </c>
      <c r="N578" t="s">
        <v>459</v>
      </c>
    </row>
    <row r="579" spans="2:14" x14ac:dyDescent="0.35">
      <c r="B579" t="s">
        <v>2504</v>
      </c>
      <c r="C579" t="s">
        <v>2079</v>
      </c>
      <c r="H579">
        <v>642</v>
      </c>
      <c r="J579" t="s">
        <v>1245</v>
      </c>
      <c r="K579" t="s">
        <v>1778</v>
      </c>
      <c r="L579" t="s">
        <v>2396</v>
      </c>
      <c r="M579" t="s">
        <v>459</v>
      </c>
      <c r="N579" t="s">
        <v>429</v>
      </c>
    </row>
    <row r="580" spans="2:14" x14ac:dyDescent="0.35">
      <c r="B580" t="s">
        <v>2505</v>
      </c>
      <c r="C580" t="s">
        <v>2081</v>
      </c>
      <c r="F580" t="s">
        <v>2510</v>
      </c>
      <c r="H580">
        <v>650</v>
      </c>
      <c r="J580" t="s">
        <v>644</v>
      </c>
      <c r="K580" t="s">
        <v>850</v>
      </c>
    </row>
    <row r="581" spans="2:14" x14ac:dyDescent="0.35">
      <c r="B581" t="s">
        <v>2506</v>
      </c>
      <c r="C581" t="s">
        <v>2083</v>
      </c>
      <c r="H581">
        <v>652</v>
      </c>
      <c r="J581" t="s">
        <v>2259</v>
      </c>
      <c r="K581" t="s">
        <v>2397</v>
      </c>
      <c r="L581" t="s">
        <v>609</v>
      </c>
    </row>
    <row r="582" spans="2:14" x14ac:dyDescent="0.35">
      <c r="B582" t="s">
        <v>2507</v>
      </c>
      <c r="C582" t="s">
        <v>2085</v>
      </c>
      <c r="H582">
        <v>654</v>
      </c>
      <c r="J582" t="s">
        <v>2085</v>
      </c>
    </row>
    <row r="583" spans="2:14" x14ac:dyDescent="0.35">
      <c r="B583" t="s">
        <v>2508</v>
      </c>
      <c r="C583" t="s">
        <v>643</v>
      </c>
      <c r="H583">
        <v>656</v>
      </c>
      <c r="J583" t="s">
        <v>643</v>
      </c>
    </row>
    <row r="584" spans="2:14" x14ac:dyDescent="0.35">
      <c r="B584" t="s">
        <v>2509</v>
      </c>
      <c r="C584" t="s">
        <v>2088</v>
      </c>
      <c r="H584">
        <v>658</v>
      </c>
      <c r="J584" t="s">
        <v>2260</v>
      </c>
      <c r="K584" t="s">
        <v>2398</v>
      </c>
      <c r="L584" t="s">
        <v>2399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948C-1635-49B5-9EEE-8690A50D5E04}">
  <dimension ref="A1:O260"/>
  <sheetViews>
    <sheetView zoomScaleNormal="100" workbookViewId="0">
      <pane xSplit="1" ySplit="1" topLeftCell="B2" activePane="bottomRight" state="frozen"/>
      <selection pane="topRight" activeCell="B1" sqref="B1"/>
      <selection pane="bottomLeft" activeCell="A2" sqref="A2"/>
      <selection pane="bottomRight" activeCell="O249" sqref="O2:O249"/>
    </sheetView>
  </sheetViews>
  <sheetFormatPr defaultRowHeight="14.5" x14ac:dyDescent="0.35"/>
  <sheetData>
    <row r="1" spans="1:15" x14ac:dyDescent="0.35">
      <c r="A1" s="1" t="s">
        <v>1090</v>
      </c>
      <c r="B1" s="1">
        <v>0</v>
      </c>
      <c r="C1" s="1">
        <v>1</v>
      </c>
      <c r="D1" s="1">
        <v>2</v>
      </c>
      <c r="E1" s="1">
        <v>3</v>
      </c>
      <c r="F1" s="1">
        <v>4</v>
      </c>
      <c r="G1" s="1">
        <v>5</v>
      </c>
      <c r="H1" s="1">
        <v>6</v>
      </c>
      <c r="I1" s="1">
        <v>7</v>
      </c>
      <c r="J1" s="1">
        <v>8</v>
      </c>
      <c r="K1" s="1">
        <v>9</v>
      </c>
      <c r="L1" s="1" t="s">
        <v>1301</v>
      </c>
      <c r="N1" t="str">
        <f>_xlfn.CONCAT(A1," ",A2)</f>
        <v>ZZZ Engineering Plants for Farming and Pharming . . . . . . . . . . . . . . . . . . . . . . . . . . . . . . . . . . . . . . . . . . . . . . . . . . . . . . . . 9</v>
      </c>
    </row>
    <row r="2" spans="1:15" x14ac:dyDescent="0.35">
      <c r="A2" t="s">
        <v>1858</v>
      </c>
      <c r="B2" t="e">
        <f>SEARCH(B$1,$A2)</f>
        <v>#VALUE!</v>
      </c>
      <c r="C2" t="e">
        <f t="shared" ref="C2:K17" si="0">SEARCH(C$1,$A2)</f>
        <v>#VALUE!</v>
      </c>
      <c r="D2" t="e">
        <f t="shared" si="0"/>
        <v>#VALUE!</v>
      </c>
      <c r="E2" t="e">
        <f t="shared" si="0"/>
        <v>#VALUE!</v>
      </c>
      <c r="F2" t="e">
        <f t="shared" si="0"/>
        <v>#VALUE!</v>
      </c>
      <c r="G2" t="e">
        <f t="shared" si="0"/>
        <v>#VALUE!</v>
      </c>
      <c r="H2" t="e">
        <f t="shared" si="0"/>
        <v>#VALUE!</v>
      </c>
      <c r="I2" t="e">
        <f t="shared" si="0"/>
        <v>#VALUE!</v>
      </c>
      <c r="J2" t="e">
        <f t="shared" si="0"/>
        <v>#VALUE!</v>
      </c>
      <c r="K2">
        <f t="shared" si="0"/>
        <v>157</v>
      </c>
      <c r="L2">
        <f>SUMIF(B2:K2,"&lt;&gt;#VALUE!")</f>
        <v>157</v>
      </c>
      <c r="M2" t="str">
        <f t="shared" ref="M2:M8" si="1">IF(AND(L1=0,L2=0),_xlfn.CONCAT(A2," ",A3),"")</f>
        <v/>
      </c>
      <c r="O2" t="s">
        <v>1858</v>
      </c>
    </row>
    <row r="3" spans="1:15" x14ac:dyDescent="0.35">
      <c r="A3" t="s">
        <v>1859</v>
      </c>
      <c r="B3" t="e">
        <f t="shared" ref="B3:K34" si="2">SEARCH(B$1,$A3)</f>
        <v>#VALUE!</v>
      </c>
      <c r="C3" t="e">
        <f t="shared" si="0"/>
        <v>#VALUE!</v>
      </c>
      <c r="D3" t="e">
        <f t="shared" si="0"/>
        <v>#VALUE!</v>
      </c>
      <c r="E3" t="e">
        <f t="shared" si="0"/>
        <v>#VALUE!</v>
      </c>
      <c r="F3" t="e">
        <f t="shared" si="0"/>
        <v>#VALUE!</v>
      </c>
      <c r="G3" t="e">
        <f t="shared" si="0"/>
        <v>#VALUE!</v>
      </c>
      <c r="H3" t="e">
        <f t="shared" si="0"/>
        <v>#VALUE!</v>
      </c>
      <c r="I3" t="e">
        <f t="shared" si="0"/>
        <v>#VALUE!</v>
      </c>
      <c r="J3" t="e">
        <f t="shared" si="0"/>
        <v>#VALUE!</v>
      </c>
      <c r="K3" t="e">
        <f t="shared" si="0"/>
        <v>#VALUE!</v>
      </c>
      <c r="L3">
        <f t="shared" ref="L3:L66" si="3">SUMIF(B3:K3,"&lt;&gt;#VALUE!")</f>
        <v>0</v>
      </c>
      <c r="M3" t="str">
        <f t="shared" si="1"/>
        <v/>
      </c>
      <c r="O3" t="s">
        <v>1859</v>
      </c>
    </row>
    <row r="4" spans="1:15" x14ac:dyDescent="0.35">
      <c r="A4" t="s">
        <v>1860</v>
      </c>
      <c r="B4">
        <f t="shared" si="2"/>
        <v>143</v>
      </c>
      <c r="C4">
        <f t="shared" si="0"/>
        <v>142</v>
      </c>
      <c r="D4" t="e">
        <f t="shared" si="0"/>
        <v>#VALUE!</v>
      </c>
      <c r="E4" t="e">
        <f t="shared" si="0"/>
        <v>#VALUE!</v>
      </c>
      <c r="F4" t="e">
        <f t="shared" si="0"/>
        <v>#VALUE!</v>
      </c>
      <c r="G4" t="e">
        <f t="shared" si="0"/>
        <v>#VALUE!</v>
      </c>
      <c r="H4" t="e">
        <f t="shared" si="0"/>
        <v>#VALUE!</v>
      </c>
      <c r="I4" t="e">
        <f t="shared" si="0"/>
        <v>#VALUE!</v>
      </c>
      <c r="J4" t="e">
        <f t="shared" si="0"/>
        <v>#VALUE!</v>
      </c>
      <c r="K4" t="e">
        <f t="shared" si="0"/>
        <v>#VALUE!</v>
      </c>
      <c r="L4">
        <f t="shared" si="3"/>
        <v>285</v>
      </c>
      <c r="M4" t="str">
        <f t="shared" si="1"/>
        <v/>
      </c>
      <c r="O4" t="s">
        <v>1860</v>
      </c>
    </row>
    <row r="5" spans="1:15" x14ac:dyDescent="0.35">
      <c r="A5" t="s">
        <v>868</v>
      </c>
      <c r="B5" t="e">
        <f t="shared" si="2"/>
        <v>#VALUE!</v>
      </c>
      <c r="C5" t="e">
        <f t="shared" si="0"/>
        <v>#VALUE!</v>
      </c>
      <c r="D5" t="e">
        <f t="shared" si="0"/>
        <v>#VALUE!</v>
      </c>
      <c r="E5" t="e">
        <f t="shared" si="0"/>
        <v>#VALUE!</v>
      </c>
      <c r="F5" t="e">
        <f t="shared" si="0"/>
        <v>#VALUE!</v>
      </c>
      <c r="G5" t="e">
        <f t="shared" si="0"/>
        <v>#VALUE!</v>
      </c>
      <c r="H5" t="e">
        <f t="shared" si="0"/>
        <v>#VALUE!</v>
      </c>
      <c r="I5" t="e">
        <f t="shared" si="0"/>
        <v>#VALUE!</v>
      </c>
      <c r="J5" t="e">
        <f t="shared" si="0"/>
        <v>#VALUE!</v>
      </c>
      <c r="K5" t="e">
        <f t="shared" si="0"/>
        <v>#VALUE!</v>
      </c>
      <c r="L5">
        <f t="shared" si="3"/>
        <v>0</v>
      </c>
      <c r="M5" t="str">
        <f t="shared" si="1"/>
        <v/>
      </c>
      <c r="O5" t="s">
        <v>868</v>
      </c>
    </row>
    <row r="6" spans="1:15" x14ac:dyDescent="0.35">
      <c r="A6" t="s">
        <v>1861</v>
      </c>
      <c r="B6" t="e">
        <f t="shared" si="2"/>
        <v>#VALUE!</v>
      </c>
      <c r="C6">
        <f t="shared" si="0"/>
        <v>117</v>
      </c>
      <c r="D6" t="e">
        <f t="shared" si="0"/>
        <v>#VALUE!</v>
      </c>
      <c r="E6" t="e">
        <f t="shared" si="0"/>
        <v>#VALUE!</v>
      </c>
      <c r="F6" t="e">
        <f t="shared" si="0"/>
        <v>#VALUE!</v>
      </c>
      <c r="G6" t="e">
        <f t="shared" si="0"/>
        <v>#VALUE!</v>
      </c>
      <c r="H6" t="e">
        <f t="shared" si="0"/>
        <v>#VALUE!</v>
      </c>
      <c r="I6" t="e">
        <f t="shared" si="0"/>
        <v>#VALUE!</v>
      </c>
      <c r="J6" t="e">
        <f t="shared" si="0"/>
        <v>#VALUE!</v>
      </c>
      <c r="K6" t="e">
        <f t="shared" si="0"/>
        <v>#VALUE!</v>
      </c>
      <c r="L6">
        <f t="shared" si="3"/>
        <v>117</v>
      </c>
      <c r="M6" t="str">
        <f t="shared" si="1"/>
        <v/>
      </c>
      <c r="O6" t="s">
        <v>1861</v>
      </c>
    </row>
    <row r="7" spans="1:15" x14ac:dyDescent="0.35">
      <c r="A7" t="s">
        <v>1862</v>
      </c>
      <c r="B7" t="e">
        <f t="shared" si="2"/>
        <v>#VALUE!</v>
      </c>
      <c r="C7" t="e">
        <f t="shared" si="0"/>
        <v>#VALUE!</v>
      </c>
      <c r="D7" t="e">
        <f t="shared" si="0"/>
        <v>#VALUE!</v>
      </c>
      <c r="E7" t="e">
        <f t="shared" si="0"/>
        <v>#VALUE!</v>
      </c>
      <c r="F7" t="e">
        <f t="shared" si="0"/>
        <v>#VALUE!</v>
      </c>
      <c r="G7" t="e">
        <f t="shared" si="0"/>
        <v>#VALUE!</v>
      </c>
      <c r="H7" t="e">
        <f t="shared" si="0"/>
        <v>#VALUE!</v>
      </c>
      <c r="I7" t="e">
        <f t="shared" si="0"/>
        <v>#VALUE!</v>
      </c>
      <c r="J7" t="e">
        <f t="shared" si="0"/>
        <v>#VALUE!</v>
      </c>
      <c r="K7" t="e">
        <f t="shared" si="0"/>
        <v>#VALUE!</v>
      </c>
      <c r="L7">
        <f t="shared" si="3"/>
        <v>0</v>
      </c>
      <c r="M7" t="str">
        <f t="shared" si="1"/>
        <v/>
      </c>
      <c r="O7" t="s">
        <v>1862</v>
      </c>
    </row>
    <row r="8" spans="1:15" x14ac:dyDescent="0.35">
      <c r="A8" t="s">
        <v>1863</v>
      </c>
      <c r="B8" t="e">
        <f t="shared" si="2"/>
        <v>#VALUE!</v>
      </c>
      <c r="C8">
        <f t="shared" si="0"/>
        <v>130</v>
      </c>
      <c r="D8" t="e">
        <f t="shared" si="0"/>
        <v>#VALUE!</v>
      </c>
      <c r="E8">
        <f t="shared" si="0"/>
        <v>131</v>
      </c>
      <c r="F8" t="e">
        <f t="shared" si="0"/>
        <v>#VALUE!</v>
      </c>
      <c r="G8" t="e">
        <f t="shared" si="0"/>
        <v>#VALUE!</v>
      </c>
      <c r="H8" t="e">
        <f t="shared" si="0"/>
        <v>#VALUE!</v>
      </c>
      <c r="I8" t="e">
        <f t="shared" si="0"/>
        <v>#VALUE!</v>
      </c>
      <c r="J8" t="e">
        <f t="shared" si="0"/>
        <v>#VALUE!</v>
      </c>
      <c r="K8" t="e">
        <f t="shared" si="0"/>
        <v>#VALUE!</v>
      </c>
      <c r="L8">
        <f t="shared" si="3"/>
        <v>261</v>
      </c>
      <c r="M8" t="str">
        <f t="shared" si="1"/>
        <v/>
      </c>
      <c r="O8" t="s">
        <v>1863</v>
      </c>
    </row>
    <row r="9" spans="1:15" x14ac:dyDescent="0.35">
      <c r="A9" t="s">
        <v>1864</v>
      </c>
      <c r="B9" t="e">
        <f t="shared" si="2"/>
        <v>#VALUE!</v>
      </c>
      <c r="C9" t="e">
        <f t="shared" si="0"/>
        <v>#VALUE!</v>
      </c>
      <c r="D9" t="e">
        <f t="shared" si="0"/>
        <v>#VALUE!</v>
      </c>
      <c r="E9" t="e">
        <f t="shared" si="0"/>
        <v>#VALUE!</v>
      </c>
      <c r="F9" t="e">
        <f t="shared" si="0"/>
        <v>#VALUE!</v>
      </c>
      <c r="G9" t="e">
        <f t="shared" si="0"/>
        <v>#VALUE!</v>
      </c>
      <c r="H9" t="e">
        <f t="shared" si="0"/>
        <v>#VALUE!</v>
      </c>
      <c r="I9" t="e">
        <f t="shared" si="0"/>
        <v>#VALUE!</v>
      </c>
      <c r="J9" t="e">
        <f t="shared" si="0"/>
        <v>#VALUE!</v>
      </c>
      <c r="K9" t="e">
        <f t="shared" si="0"/>
        <v>#VALUE!</v>
      </c>
      <c r="L9">
        <f t="shared" si="3"/>
        <v>0</v>
      </c>
      <c r="M9" t="str">
        <f>IF(AND(L8=0,L9=0),_xlfn.CONCAT(A9," ",A10),"")</f>
        <v/>
      </c>
      <c r="O9" t="s">
        <v>1864</v>
      </c>
    </row>
    <row r="10" spans="1:15" x14ac:dyDescent="0.35">
      <c r="A10" t="s">
        <v>1865</v>
      </c>
      <c r="B10" t="e">
        <f t="shared" si="2"/>
        <v>#VALUE!</v>
      </c>
      <c r="C10" t="e">
        <f t="shared" si="0"/>
        <v>#VALUE!</v>
      </c>
      <c r="D10" t="e">
        <f t="shared" si="0"/>
        <v>#VALUE!</v>
      </c>
      <c r="E10" t="e">
        <f t="shared" si="0"/>
        <v>#VALUE!</v>
      </c>
      <c r="F10" t="e">
        <f t="shared" si="0"/>
        <v>#VALUE!</v>
      </c>
      <c r="G10" t="e">
        <f t="shared" si="0"/>
        <v>#VALUE!</v>
      </c>
      <c r="H10" t="e">
        <f t="shared" si="0"/>
        <v>#VALUE!</v>
      </c>
      <c r="I10" t="e">
        <f t="shared" si="0"/>
        <v>#VALUE!</v>
      </c>
      <c r="J10" t="e">
        <f t="shared" si="0"/>
        <v>#VALUE!</v>
      </c>
      <c r="K10" t="e">
        <f t="shared" si="0"/>
        <v>#VALUE!</v>
      </c>
      <c r="L10">
        <f t="shared" si="3"/>
        <v>0</v>
      </c>
      <c r="M10" t="str">
        <f t="shared" ref="M10:M73" si="4">IF(AND(L9=0,L10=0),_xlfn.CONCAT(A10," ",A11),"")</f>
        <v>Towards Low-Carbon Conferencing: Acceptance of Virtual Conferencing Solutions and Other Sustainability Measures in the ALIFE Community . . . . . . . . . . . . . . . . . . . . . . . . . . . . . . . . . . . . . . . . . . . . . . . . . . . . 21</v>
      </c>
      <c r="O10" t="s">
        <v>2089</v>
      </c>
    </row>
    <row r="11" spans="1:15" x14ac:dyDescent="0.35">
      <c r="A11" t="s">
        <v>1866</v>
      </c>
      <c r="B11" t="e">
        <f t="shared" si="2"/>
        <v>#VALUE!</v>
      </c>
      <c r="C11">
        <f t="shared" si="0"/>
        <v>153</v>
      </c>
      <c r="D11">
        <f t="shared" si="0"/>
        <v>152</v>
      </c>
      <c r="E11" t="e">
        <f t="shared" si="0"/>
        <v>#VALUE!</v>
      </c>
      <c r="F11" t="e">
        <f t="shared" si="0"/>
        <v>#VALUE!</v>
      </c>
      <c r="G11" t="e">
        <f t="shared" si="0"/>
        <v>#VALUE!</v>
      </c>
      <c r="H11" t="e">
        <f t="shared" si="0"/>
        <v>#VALUE!</v>
      </c>
      <c r="I11" t="e">
        <f t="shared" si="0"/>
        <v>#VALUE!</v>
      </c>
      <c r="J11" t="e">
        <f t="shared" si="0"/>
        <v>#VALUE!</v>
      </c>
      <c r="K11" t="e">
        <f t="shared" si="0"/>
        <v>#VALUE!</v>
      </c>
      <c r="L11">
        <f t="shared" si="3"/>
        <v>305</v>
      </c>
      <c r="M11" t="str">
        <f t="shared" si="4"/>
        <v/>
      </c>
    </row>
    <row r="12" spans="1:15" x14ac:dyDescent="0.35">
      <c r="A12" t="s">
        <v>1867</v>
      </c>
      <c r="B12" t="e">
        <f t="shared" si="2"/>
        <v>#VALUE!</v>
      </c>
      <c r="C12" t="e">
        <f t="shared" si="0"/>
        <v>#VALUE!</v>
      </c>
      <c r="D12" t="e">
        <f t="shared" si="0"/>
        <v>#VALUE!</v>
      </c>
      <c r="E12" t="e">
        <f t="shared" si="0"/>
        <v>#VALUE!</v>
      </c>
      <c r="F12" t="e">
        <f t="shared" si="0"/>
        <v>#VALUE!</v>
      </c>
      <c r="G12" t="e">
        <f t="shared" si="0"/>
        <v>#VALUE!</v>
      </c>
      <c r="H12" t="e">
        <f t="shared" si="0"/>
        <v>#VALUE!</v>
      </c>
      <c r="I12" t="e">
        <f t="shared" si="0"/>
        <v>#VALUE!</v>
      </c>
      <c r="J12" t="e">
        <f t="shared" si="0"/>
        <v>#VALUE!</v>
      </c>
      <c r="K12" t="e">
        <f t="shared" si="0"/>
        <v>#VALUE!</v>
      </c>
      <c r="L12">
        <f t="shared" si="3"/>
        <v>0</v>
      </c>
      <c r="M12" t="str">
        <f t="shared" si="4"/>
        <v/>
      </c>
      <c r="O12" t="s">
        <v>1867</v>
      </c>
    </row>
    <row r="13" spans="1:15" x14ac:dyDescent="0.35">
      <c r="A13" t="s">
        <v>1868</v>
      </c>
      <c r="B13" t="e">
        <f t="shared" si="2"/>
        <v>#VALUE!</v>
      </c>
      <c r="C13" t="e">
        <f t="shared" si="0"/>
        <v>#VALUE!</v>
      </c>
      <c r="D13">
        <f t="shared" si="0"/>
        <v>149</v>
      </c>
      <c r="E13" t="e">
        <f t="shared" si="0"/>
        <v>#VALUE!</v>
      </c>
      <c r="F13" t="e">
        <f t="shared" si="0"/>
        <v>#VALUE!</v>
      </c>
      <c r="G13" t="e">
        <f t="shared" si="0"/>
        <v>#VALUE!</v>
      </c>
      <c r="H13" t="e">
        <f t="shared" si="0"/>
        <v>#VALUE!</v>
      </c>
      <c r="I13" t="e">
        <f t="shared" si="0"/>
        <v>#VALUE!</v>
      </c>
      <c r="J13">
        <f t="shared" si="0"/>
        <v>150</v>
      </c>
      <c r="K13" t="e">
        <f t="shared" si="0"/>
        <v>#VALUE!</v>
      </c>
      <c r="L13">
        <f t="shared" si="3"/>
        <v>299</v>
      </c>
      <c r="M13" t="str">
        <f t="shared" si="4"/>
        <v/>
      </c>
      <c r="O13" t="s">
        <v>1868</v>
      </c>
    </row>
    <row r="14" spans="1:15" x14ac:dyDescent="0.35">
      <c r="A14" t="s">
        <v>514</v>
      </c>
      <c r="B14" t="e">
        <f t="shared" si="2"/>
        <v>#VALUE!</v>
      </c>
      <c r="C14" t="e">
        <f t="shared" si="0"/>
        <v>#VALUE!</v>
      </c>
      <c r="D14" t="e">
        <f t="shared" si="0"/>
        <v>#VALUE!</v>
      </c>
      <c r="E14" t="e">
        <f t="shared" si="0"/>
        <v>#VALUE!</v>
      </c>
      <c r="F14" t="e">
        <f t="shared" si="0"/>
        <v>#VALUE!</v>
      </c>
      <c r="G14" t="e">
        <f t="shared" si="0"/>
        <v>#VALUE!</v>
      </c>
      <c r="H14" t="e">
        <f t="shared" si="0"/>
        <v>#VALUE!</v>
      </c>
      <c r="I14" t="e">
        <f t="shared" si="0"/>
        <v>#VALUE!</v>
      </c>
      <c r="J14" t="e">
        <f t="shared" si="0"/>
        <v>#VALUE!</v>
      </c>
      <c r="K14" t="e">
        <f t="shared" si="0"/>
        <v>#VALUE!</v>
      </c>
      <c r="L14">
        <f t="shared" si="3"/>
        <v>0</v>
      </c>
      <c r="M14" t="str">
        <f t="shared" si="4"/>
        <v/>
      </c>
      <c r="O14" t="s">
        <v>514</v>
      </c>
    </row>
    <row r="15" spans="1:15" x14ac:dyDescent="0.35">
      <c r="A15" t="s">
        <v>1869</v>
      </c>
      <c r="B15">
        <f t="shared" si="2"/>
        <v>155</v>
      </c>
      <c r="C15" t="e">
        <f t="shared" si="0"/>
        <v>#VALUE!</v>
      </c>
      <c r="D15" t="e">
        <f t="shared" si="0"/>
        <v>#VALUE!</v>
      </c>
      <c r="E15">
        <f t="shared" si="0"/>
        <v>154</v>
      </c>
      <c r="F15" t="e">
        <f t="shared" si="0"/>
        <v>#VALUE!</v>
      </c>
      <c r="G15" t="e">
        <f t="shared" si="0"/>
        <v>#VALUE!</v>
      </c>
      <c r="H15" t="e">
        <f t="shared" si="0"/>
        <v>#VALUE!</v>
      </c>
      <c r="I15" t="e">
        <f t="shared" si="0"/>
        <v>#VALUE!</v>
      </c>
      <c r="J15" t="e">
        <f t="shared" si="0"/>
        <v>#VALUE!</v>
      </c>
      <c r="K15" t="e">
        <f t="shared" si="0"/>
        <v>#VALUE!</v>
      </c>
      <c r="L15">
        <f t="shared" si="3"/>
        <v>309</v>
      </c>
      <c r="M15" t="str">
        <f t="shared" si="4"/>
        <v/>
      </c>
      <c r="O15" t="s">
        <v>1869</v>
      </c>
    </row>
    <row r="16" spans="1:15" x14ac:dyDescent="0.35">
      <c r="A16" t="s">
        <v>1870</v>
      </c>
      <c r="B16" t="e">
        <f t="shared" si="2"/>
        <v>#VALUE!</v>
      </c>
      <c r="C16" t="e">
        <f t="shared" si="0"/>
        <v>#VALUE!</v>
      </c>
      <c r="D16" t="e">
        <f t="shared" si="0"/>
        <v>#VALUE!</v>
      </c>
      <c r="E16" t="e">
        <f t="shared" si="0"/>
        <v>#VALUE!</v>
      </c>
      <c r="F16" t="e">
        <f t="shared" si="0"/>
        <v>#VALUE!</v>
      </c>
      <c r="G16" t="e">
        <f t="shared" si="0"/>
        <v>#VALUE!</v>
      </c>
      <c r="H16" t="e">
        <f t="shared" si="0"/>
        <v>#VALUE!</v>
      </c>
      <c r="I16" t="e">
        <f t="shared" si="0"/>
        <v>#VALUE!</v>
      </c>
      <c r="J16" t="e">
        <f t="shared" si="0"/>
        <v>#VALUE!</v>
      </c>
      <c r="K16" t="e">
        <f t="shared" si="0"/>
        <v>#VALUE!</v>
      </c>
      <c r="L16">
        <f t="shared" si="3"/>
        <v>0</v>
      </c>
      <c r="M16" t="str">
        <f t="shared" si="4"/>
        <v/>
      </c>
      <c r="O16" t="s">
        <v>1870</v>
      </c>
    </row>
    <row r="17" spans="1:15" x14ac:dyDescent="0.35">
      <c r="A17" t="s">
        <v>1871</v>
      </c>
      <c r="B17" t="e">
        <f t="shared" si="2"/>
        <v>#VALUE!</v>
      </c>
      <c r="C17" t="e">
        <f t="shared" si="0"/>
        <v>#VALUE!</v>
      </c>
      <c r="D17">
        <f t="shared" si="0"/>
        <v>155</v>
      </c>
      <c r="E17">
        <f t="shared" si="0"/>
        <v>154</v>
      </c>
      <c r="F17" t="e">
        <f t="shared" si="0"/>
        <v>#VALUE!</v>
      </c>
      <c r="G17" t="e">
        <f t="shared" si="0"/>
        <v>#VALUE!</v>
      </c>
      <c r="H17" t="e">
        <f t="shared" si="0"/>
        <v>#VALUE!</v>
      </c>
      <c r="I17" t="e">
        <f t="shared" si="0"/>
        <v>#VALUE!</v>
      </c>
      <c r="J17" t="e">
        <f t="shared" si="0"/>
        <v>#VALUE!</v>
      </c>
      <c r="K17" t="e">
        <f t="shared" si="0"/>
        <v>#VALUE!</v>
      </c>
      <c r="L17">
        <f t="shared" si="3"/>
        <v>309</v>
      </c>
      <c r="M17" t="str">
        <f t="shared" si="4"/>
        <v/>
      </c>
      <c r="O17" t="s">
        <v>1871</v>
      </c>
    </row>
    <row r="18" spans="1:15" x14ac:dyDescent="0.35">
      <c r="A18" t="s">
        <v>1872</v>
      </c>
      <c r="B18" t="e">
        <f t="shared" si="2"/>
        <v>#VALUE!</v>
      </c>
      <c r="C18" t="e">
        <f t="shared" si="2"/>
        <v>#VALUE!</v>
      </c>
      <c r="D18" t="e">
        <f t="shared" si="2"/>
        <v>#VALUE!</v>
      </c>
      <c r="E18" t="e">
        <f t="shared" si="2"/>
        <v>#VALUE!</v>
      </c>
      <c r="F18" t="e">
        <f t="shared" si="2"/>
        <v>#VALUE!</v>
      </c>
      <c r="G18" t="e">
        <f t="shared" si="2"/>
        <v>#VALUE!</v>
      </c>
      <c r="H18" t="e">
        <f t="shared" si="2"/>
        <v>#VALUE!</v>
      </c>
      <c r="I18" t="e">
        <f t="shared" si="2"/>
        <v>#VALUE!</v>
      </c>
      <c r="J18" t="e">
        <f t="shared" si="2"/>
        <v>#VALUE!</v>
      </c>
      <c r="K18" t="e">
        <f t="shared" si="2"/>
        <v>#VALUE!</v>
      </c>
      <c r="L18">
        <f t="shared" si="3"/>
        <v>0</v>
      </c>
      <c r="M18" t="str">
        <f t="shared" si="4"/>
        <v/>
      </c>
      <c r="O18" t="s">
        <v>1872</v>
      </c>
    </row>
    <row r="19" spans="1:15" x14ac:dyDescent="0.35">
      <c r="A19" t="s">
        <v>1873</v>
      </c>
      <c r="B19">
        <f t="shared" si="2"/>
        <v>114</v>
      </c>
      <c r="C19" t="e">
        <f t="shared" si="2"/>
        <v>#VALUE!</v>
      </c>
      <c r="D19" t="e">
        <f t="shared" si="2"/>
        <v>#VALUE!</v>
      </c>
      <c r="E19" t="e">
        <f t="shared" si="2"/>
        <v>#VALUE!</v>
      </c>
      <c r="F19">
        <f t="shared" si="2"/>
        <v>113</v>
      </c>
      <c r="G19" t="e">
        <f t="shared" si="2"/>
        <v>#VALUE!</v>
      </c>
      <c r="H19" t="e">
        <f t="shared" si="2"/>
        <v>#VALUE!</v>
      </c>
      <c r="I19" t="e">
        <f t="shared" si="2"/>
        <v>#VALUE!</v>
      </c>
      <c r="J19" t="e">
        <f t="shared" si="2"/>
        <v>#VALUE!</v>
      </c>
      <c r="K19" t="e">
        <f t="shared" si="2"/>
        <v>#VALUE!</v>
      </c>
      <c r="L19">
        <f t="shared" si="3"/>
        <v>227</v>
      </c>
      <c r="M19" t="str">
        <f t="shared" si="4"/>
        <v/>
      </c>
      <c r="O19" t="s">
        <v>1873</v>
      </c>
    </row>
    <row r="20" spans="1:15" x14ac:dyDescent="0.35">
      <c r="A20" t="s">
        <v>1874</v>
      </c>
      <c r="B20" t="e">
        <f t="shared" si="2"/>
        <v>#VALUE!</v>
      </c>
      <c r="C20" t="e">
        <f t="shared" si="2"/>
        <v>#VALUE!</v>
      </c>
      <c r="D20" t="e">
        <f t="shared" si="2"/>
        <v>#VALUE!</v>
      </c>
      <c r="E20" t="e">
        <f t="shared" si="2"/>
        <v>#VALUE!</v>
      </c>
      <c r="F20" t="e">
        <f t="shared" si="2"/>
        <v>#VALUE!</v>
      </c>
      <c r="G20" t="e">
        <f t="shared" si="2"/>
        <v>#VALUE!</v>
      </c>
      <c r="H20" t="e">
        <f t="shared" si="2"/>
        <v>#VALUE!</v>
      </c>
      <c r="I20" t="e">
        <f t="shared" si="2"/>
        <v>#VALUE!</v>
      </c>
      <c r="J20" t="e">
        <f t="shared" si="2"/>
        <v>#VALUE!</v>
      </c>
      <c r="K20" t="e">
        <f t="shared" si="2"/>
        <v>#VALUE!</v>
      </c>
      <c r="L20">
        <f t="shared" si="3"/>
        <v>0</v>
      </c>
      <c r="M20" t="str">
        <f t="shared" si="4"/>
        <v/>
      </c>
      <c r="O20" t="s">
        <v>1874</v>
      </c>
    </row>
    <row r="21" spans="1:15" x14ac:dyDescent="0.35">
      <c r="A21" t="s">
        <v>1875</v>
      </c>
      <c r="B21" t="e">
        <f t="shared" si="2"/>
        <v>#VALUE!</v>
      </c>
      <c r="C21" t="e">
        <f t="shared" si="2"/>
        <v>#VALUE!</v>
      </c>
      <c r="D21" t="e">
        <f t="shared" si="2"/>
        <v>#VALUE!</v>
      </c>
      <c r="E21" t="e">
        <f t="shared" si="2"/>
        <v>#VALUE!</v>
      </c>
      <c r="F21">
        <f t="shared" si="2"/>
        <v>131</v>
      </c>
      <c r="G21" t="e">
        <f t="shared" si="2"/>
        <v>#VALUE!</v>
      </c>
      <c r="H21" t="e">
        <f t="shared" si="2"/>
        <v>#VALUE!</v>
      </c>
      <c r="I21" t="e">
        <f t="shared" si="2"/>
        <v>#VALUE!</v>
      </c>
      <c r="J21">
        <f t="shared" si="2"/>
        <v>132</v>
      </c>
      <c r="K21" t="e">
        <f t="shared" si="2"/>
        <v>#VALUE!</v>
      </c>
      <c r="L21">
        <f t="shared" si="3"/>
        <v>263</v>
      </c>
      <c r="M21" t="str">
        <f t="shared" si="4"/>
        <v/>
      </c>
      <c r="O21" t="s">
        <v>1875</v>
      </c>
    </row>
    <row r="22" spans="1:15" x14ac:dyDescent="0.35">
      <c r="A22" t="s">
        <v>1876</v>
      </c>
      <c r="B22" t="e">
        <f t="shared" si="2"/>
        <v>#VALUE!</v>
      </c>
      <c r="C22" t="e">
        <f t="shared" si="2"/>
        <v>#VALUE!</v>
      </c>
      <c r="D22" t="e">
        <f t="shared" si="2"/>
        <v>#VALUE!</v>
      </c>
      <c r="E22" t="e">
        <f t="shared" si="2"/>
        <v>#VALUE!</v>
      </c>
      <c r="F22" t="e">
        <f t="shared" si="2"/>
        <v>#VALUE!</v>
      </c>
      <c r="G22" t="e">
        <f t="shared" si="2"/>
        <v>#VALUE!</v>
      </c>
      <c r="H22" t="e">
        <f t="shared" si="2"/>
        <v>#VALUE!</v>
      </c>
      <c r="I22" t="e">
        <f t="shared" si="2"/>
        <v>#VALUE!</v>
      </c>
      <c r="J22" t="e">
        <f t="shared" si="2"/>
        <v>#VALUE!</v>
      </c>
      <c r="K22" t="e">
        <f t="shared" si="2"/>
        <v>#VALUE!</v>
      </c>
      <c r="L22">
        <f t="shared" si="3"/>
        <v>0</v>
      </c>
      <c r="M22" t="str">
        <f t="shared" si="4"/>
        <v/>
      </c>
      <c r="O22" t="s">
        <v>1876</v>
      </c>
    </row>
    <row r="23" spans="1:15" x14ac:dyDescent="0.35">
      <c r="A23" t="s">
        <v>1877</v>
      </c>
      <c r="B23">
        <f t="shared" si="2"/>
        <v>156</v>
      </c>
      <c r="C23" t="e">
        <f t="shared" si="2"/>
        <v>#VALUE!</v>
      </c>
      <c r="D23" t="e">
        <f t="shared" si="2"/>
        <v>#VALUE!</v>
      </c>
      <c r="E23" t="e">
        <f t="shared" si="2"/>
        <v>#VALUE!</v>
      </c>
      <c r="F23" t="e">
        <f t="shared" si="2"/>
        <v>#VALUE!</v>
      </c>
      <c r="G23">
        <f t="shared" si="2"/>
        <v>155</v>
      </c>
      <c r="H23" t="e">
        <f t="shared" si="2"/>
        <v>#VALUE!</v>
      </c>
      <c r="I23" t="e">
        <f t="shared" si="2"/>
        <v>#VALUE!</v>
      </c>
      <c r="J23" t="e">
        <f t="shared" si="2"/>
        <v>#VALUE!</v>
      </c>
      <c r="K23" t="e">
        <f t="shared" si="2"/>
        <v>#VALUE!</v>
      </c>
      <c r="L23">
        <f t="shared" si="3"/>
        <v>311</v>
      </c>
      <c r="M23" t="str">
        <f t="shared" si="4"/>
        <v/>
      </c>
      <c r="O23" t="s">
        <v>1877</v>
      </c>
    </row>
    <row r="24" spans="1:15" x14ac:dyDescent="0.35">
      <c r="A24" t="s">
        <v>1878</v>
      </c>
      <c r="B24" t="e">
        <f t="shared" si="2"/>
        <v>#VALUE!</v>
      </c>
      <c r="C24" t="e">
        <f t="shared" si="2"/>
        <v>#VALUE!</v>
      </c>
      <c r="D24" t="e">
        <f t="shared" si="2"/>
        <v>#VALUE!</v>
      </c>
      <c r="E24" t="e">
        <f t="shared" si="2"/>
        <v>#VALUE!</v>
      </c>
      <c r="F24" t="e">
        <f t="shared" si="2"/>
        <v>#VALUE!</v>
      </c>
      <c r="G24" t="e">
        <f t="shared" si="2"/>
        <v>#VALUE!</v>
      </c>
      <c r="H24" t="e">
        <f t="shared" si="2"/>
        <v>#VALUE!</v>
      </c>
      <c r="I24" t="e">
        <f t="shared" si="2"/>
        <v>#VALUE!</v>
      </c>
      <c r="J24" t="e">
        <f t="shared" si="2"/>
        <v>#VALUE!</v>
      </c>
      <c r="K24" t="e">
        <f t="shared" si="2"/>
        <v>#VALUE!</v>
      </c>
      <c r="L24">
        <f t="shared" si="3"/>
        <v>0</v>
      </c>
      <c r="M24" t="str">
        <f t="shared" si="4"/>
        <v/>
      </c>
      <c r="O24" t="s">
        <v>1878</v>
      </c>
    </row>
    <row r="25" spans="1:15" x14ac:dyDescent="0.35">
      <c r="A25" t="s">
        <v>1879</v>
      </c>
      <c r="B25" t="e">
        <f t="shared" si="2"/>
        <v>#VALUE!</v>
      </c>
      <c r="C25" t="e">
        <f t="shared" si="2"/>
        <v>#VALUE!</v>
      </c>
      <c r="D25">
        <f t="shared" si="2"/>
        <v>130</v>
      </c>
      <c r="E25" t="e">
        <f t="shared" si="2"/>
        <v>#VALUE!</v>
      </c>
      <c r="F25" t="e">
        <f t="shared" si="2"/>
        <v>#VALUE!</v>
      </c>
      <c r="G25">
        <f t="shared" si="2"/>
        <v>129</v>
      </c>
      <c r="H25" t="e">
        <f t="shared" si="2"/>
        <v>#VALUE!</v>
      </c>
      <c r="I25" t="e">
        <f t="shared" si="2"/>
        <v>#VALUE!</v>
      </c>
      <c r="J25" t="e">
        <f t="shared" si="2"/>
        <v>#VALUE!</v>
      </c>
      <c r="K25" t="e">
        <f t="shared" si="2"/>
        <v>#VALUE!</v>
      </c>
      <c r="L25">
        <f t="shared" si="3"/>
        <v>259</v>
      </c>
      <c r="M25" t="str">
        <f t="shared" si="4"/>
        <v/>
      </c>
      <c r="O25" t="s">
        <v>1879</v>
      </c>
    </row>
    <row r="26" spans="1:15" x14ac:dyDescent="0.35">
      <c r="A26" t="s">
        <v>1880</v>
      </c>
      <c r="B26" t="e">
        <f t="shared" si="2"/>
        <v>#VALUE!</v>
      </c>
      <c r="C26" t="e">
        <f t="shared" si="2"/>
        <v>#VALUE!</v>
      </c>
      <c r="D26" t="e">
        <f t="shared" si="2"/>
        <v>#VALUE!</v>
      </c>
      <c r="E26" t="e">
        <f t="shared" si="2"/>
        <v>#VALUE!</v>
      </c>
      <c r="F26" t="e">
        <f t="shared" si="2"/>
        <v>#VALUE!</v>
      </c>
      <c r="G26" t="e">
        <f t="shared" si="2"/>
        <v>#VALUE!</v>
      </c>
      <c r="H26" t="e">
        <f t="shared" si="2"/>
        <v>#VALUE!</v>
      </c>
      <c r="I26" t="e">
        <f t="shared" si="2"/>
        <v>#VALUE!</v>
      </c>
      <c r="J26" t="e">
        <f t="shared" si="2"/>
        <v>#VALUE!</v>
      </c>
      <c r="K26" t="e">
        <f t="shared" si="2"/>
        <v>#VALUE!</v>
      </c>
      <c r="L26">
        <f t="shared" si="3"/>
        <v>0</v>
      </c>
      <c r="M26" t="str">
        <f t="shared" si="4"/>
        <v/>
      </c>
      <c r="O26" t="s">
        <v>1880</v>
      </c>
    </row>
    <row r="27" spans="1:15" x14ac:dyDescent="0.35">
      <c r="A27" t="s">
        <v>1881</v>
      </c>
      <c r="B27" t="e">
        <f t="shared" si="2"/>
        <v>#VALUE!</v>
      </c>
      <c r="C27" t="e">
        <f t="shared" si="2"/>
        <v>#VALUE!</v>
      </c>
      <c r="D27" t="e">
        <f t="shared" si="2"/>
        <v>#VALUE!</v>
      </c>
      <c r="E27" t="e">
        <f t="shared" si="2"/>
        <v>#VALUE!</v>
      </c>
      <c r="F27" t="e">
        <f t="shared" si="2"/>
        <v>#VALUE!</v>
      </c>
      <c r="G27" t="e">
        <f t="shared" si="2"/>
        <v>#VALUE!</v>
      </c>
      <c r="H27" t="e">
        <f t="shared" si="2"/>
        <v>#VALUE!</v>
      </c>
      <c r="I27" t="e">
        <f t="shared" si="2"/>
        <v>#VALUE!</v>
      </c>
      <c r="J27" t="e">
        <f t="shared" si="2"/>
        <v>#VALUE!</v>
      </c>
      <c r="K27" t="e">
        <f t="shared" si="2"/>
        <v>#VALUE!</v>
      </c>
      <c r="L27">
        <f t="shared" si="3"/>
        <v>0</v>
      </c>
      <c r="M27" t="str">
        <f t="shared" si="4"/>
        <v>Insect-Inspired Visual Navigation On-Board an Autonomous Robot: Real-World Routes Encoded in a Single Layer Network. . . . . . . . . . . . . . . . . . . . . . . . . . . . . . . . . . . . . . . . . . . . . . . . . . . . . . . . . . . . . . . . . . . . . . . . . . . . . . . . 60</v>
      </c>
      <c r="O27" t="s">
        <v>2090</v>
      </c>
    </row>
    <row r="28" spans="1:15" x14ac:dyDescent="0.35">
      <c r="A28" t="s">
        <v>1882</v>
      </c>
      <c r="B28">
        <f t="shared" si="2"/>
        <v>184</v>
      </c>
      <c r="C28" t="e">
        <f t="shared" si="2"/>
        <v>#VALUE!</v>
      </c>
      <c r="D28" t="e">
        <f t="shared" si="2"/>
        <v>#VALUE!</v>
      </c>
      <c r="E28" t="e">
        <f t="shared" si="2"/>
        <v>#VALUE!</v>
      </c>
      <c r="F28" t="e">
        <f t="shared" si="2"/>
        <v>#VALUE!</v>
      </c>
      <c r="G28" t="e">
        <f t="shared" si="2"/>
        <v>#VALUE!</v>
      </c>
      <c r="H28">
        <f t="shared" si="2"/>
        <v>183</v>
      </c>
      <c r="I28" t="e">
        <f t="shared" si="2"/>
        <v>#VALUE!</v>
      </c>
      <c r="J28" t="e">
        <f t="shared" si="2"/>
        <v>#VALUE!</v>
      </c>
      <c r="K28" t="e">
        <f t="shared" si="2"/>
        <v>#VALUE!</v>
      </c>
      <c r="L28">
        <f t="shared" si="3"/>
        <v>367</v>
      </c>
      <c r="M28" t="str">
        <f t="shared" si="4"/>
        <v/>
      </c>
    </row>
    <row r="29" spans="1:15" x14ac:dyDescent="0.35">
      <c r="A29" t="s">
        <v>1883</v>
      </c>
      <c r="B29" t="e">
        <f t="shared" si="2"/>
        <v>#VALUE!</v>
      </c>
      <c r="C29" t="e">
        <f t="shared" si="2"/>
        <v>#VALUE!</v>
      </c>
      <c r="D29" t="e">
        <f t="shared" si="2"/>
        <v>#VALUE!</v>
      </c>
      <c r="E29" t="e">
        <f t="shared" si="2"/>
        <v>#VALUE!</v>
      </c>
      <c r="F29" t="e">
        <f t="shared" si="2"/>
        <v>#VALUE!</v>
      </c>
      <c r="G29" t="e">
        <f t="shared" si="2"/>
        <v>#VALUE!</v>
      </c>
      <c r="H29" t="e">
        <f t="shared" si="2"/>
        <v>#VALUE!</v>
      </c>
      <c r="I29" t="e">
        <f t="shared" si="2"/>
        <v>#VALUE!</v>
      </c>
      <c r="J29" t="e">
        <f t="shared" si="2"/>
        <v>#VALUE!</v>
      </c>
      <c r="K29" t="e">
        <f t="shared" si="2"/>
        <v>#VALUE!</v>
      </c>
      <c r="L29">
        <f t="shared" si="3"/>
        <v>0</v>
      </c>
      <c r="M29" t="str">
        <f t="shared" si="4"/>
        <v/>
      </c>
      <c r="N29" t="str">
        <f>_xlfn.CONCAT(A29," ",A30)</f>
        <v>James Knight, Daniil Sakhapov, Norbert Domcsek, Alex Dewar, Paul Graham, Thomas Nowotny and Andrew Philippides</v>
      </c>
      <c r="O29" t="s">
        <v>2091</v>
      </c>
    </row>
    <row r="30" spans="1:15" x14ac:dyDescent="0.35">
      <c r="A30" t="s">
        <v>1884</v>
      </c>
      <c r="B30" t="e">
        <f t="shared" si="2"/>
        <v>#VALUE!</v>
      </c>
      <c r="C30" t="e">
        <f t="shared" si="2"/>
        <v>#VALUE!</v>
      </c>
      <c r="D30" t="e">
        <f t="shared" si="2"/>
        <v>#VALUE!</v>
      </c>
      <c r="E30" t="e">
        <f t="shared" si="2"/>
        <v>#VALUE!</v>
      </c>
      <c r="F30" t="e">
        <f t="shared" si="2"/>
        <v>#VALUE!</v>
      </c>
      <c r="G30" t="e">
        <f t="shared" si="2"/>
        <v>#VALUE!</v>
      </c>
      <c r="H30" t="e">
        <f t="shared" si="2"/>
        <v>#VALUE!</v>
      </c>
      <c r="I30" t="e">
        <f t="shared" si="2"/>
        <v>#VALUE!</v>
      </c>
      <c r="J30" t="e">
        <f t="shared" si="2"/>
        <v>#VALUE!</v>
      </c>
      <c r="K30" t="e">
        <f t="shared" si="2"/>
        <v>#VALUE!</v>
      </c>
      <c r="L30">
        <f t="shared" si="3"/>
        <v>0</v>
      </c>
    </row>
    <row r="31" spans="1:15" x14ac:dyDescent="0.35">
      <c r="A31" t="s">
        <v>1885</v>
      </c>
      <c r="B31" t="e">
        <f t="shared" si="2"/>
        <v>#VALUE!</v>
      </c>
      <c r="C31" t="e">
        <f t="shared" si="2"/>
        <v>#VALUE!</v>
      </c>
      <c r="D31" t="e">
        <f t="shared" si="2"/>
        <v>#VALUE!</v>
      </c>
      <c r="E31" t="e">
        <f t="shared" si="2"/>
        <v>#VALUE!</v>
      </c>
      <c r="F31" t="e">
        <f t="shared" si="2"/>
        <v>#VALUE!</v>
      </c>
      <c r="G31" t="e">
        <f t="shared" si="2"/>
        <v>#VALUE!</v>
      </c>
      <c r="H31">
        <f t="shared" si="2"/>
        <v>113</v>
      </c>
      <c r="I31" t="e">
        <f t="shared" si="2"/>
        <v>#VALUE!</v>
      </c>
      <c r="J31">
        <f t="shared" si="2"/>
        <v>114</v>
      </c>
      <c r="K31" t="e">
        <f t="shared" si="2"/>
        <v>#VALUE!</v>
      </c>
      <c r="L31">
        <f t="shared" si="3"/>
        <v>227</v>
      </c>
      <c r="M31" t="str">
        <f t="shared" si="4"/>
        <v/>
      </c>
      <c r="O31" t="s">
        <v>1885</v>
      </c>
    </row>
    <row r="32" spans="1:15" x14ac:dyDescent="0.35">
      <c r="A32" t="s">
        <v>1886</v>
      </c>
      <c r="B32" t="e">
        <f t="shared" si="2"/>
        <v>#VALUE!</v>
      </c>
      <c r="C32" t="e">
        <f t="shared" si="2"/>
        <v>#VALUE!</v>
      </c>
      <c r="D32" t="e">
        <f t="shared" si="2"/>
        <v>#VALUE!</v>
      </c>
      <c r="E32" t="e">
        <f t="shared" si="2"/>
        <v>#VALUE!</v>
      </c>
      <c r="F32" t="e">
        <f t="shared" si="2"/>
        <v>#VALUE!</v>
      </c>
      <c r="G32" t="e">
        <f t="shared" si="2"/>
        <v>#VALUE!</v>
      </c>
      <c r="H32" t="e">
        <f t="shared" si="2"/>
        <v>#VALUE!</v>
      </c>
      <c r="I32" t="e">
        <f t="shared" si="2"/>
        <v>#VALUE!</v>
      </c>
      <c r="J32" t="e">
        <f t="shared" si="2"/>
        <v>#VALUE!</v>
      </c>
      <c r="K32" t="e">
        <f t="shared" si="2"/>
        <v>#VALUE!</v>
      </c>
      <c r="L32">
        <f t="shared" si="3"/>
        <v>0</v>
      </c>
      <c r="M32" t="str">
        <f t="shared" si="4"/>
        <v/>
      </c>
      <c r="O32" t="s">
        <v>1886</v>
      </c>
    </row>
    <row r="33" spans="1:15" x14ac:dyDescent="0.35">
      <c r="A33" t="s">
        <v>1887</v>
      </c>
      <c r="B33">
        <f t="shared" si="2"/>
        <v>132</v>
      </c>
      <c r="C33" t="e">
        <f t="shared" si="2"/>
        <v>#VALUE!</v>
      </c>
      <c r="D33" t="e">
        <f t="shared" si="2"/>
        <v>#VALUE!</v>
      </c>
      <c r="E33">
        <f t="shared" si="2"/>
        <v>64</v>
      </c>
      <c r="F33" t="e">
        <f t="shared" si="2"/>
        <v>#VALUE!</v>
      </c>
      <c r="G33" t="e">
        <f t="shared" si="2"/>
        <v>#VALUE!</v>
      </c>
      <c r="H33" t="e">
        <f t="shared" si="2"/>
        <v>#VALUE!</v>
      </c>
      <c r="I33">
        <f t="shared" si="2"/>
        <v>131</v>
      </c>
      <c r="J33" t="e">
        <f t="shared" si="2"/>
        <v>#VALUE!</v>
      </c>
      <c r="K33" t="e">
        <f t="shared" si="2"/>
        <v>#VALUE!</v>
      </c>
      <c r="L33">
        <f t="shared" si="3"/>
        <v>327</v>
      </c>
      <c r="M33" t="str">
        <f t="shared" si="4"/>
        <v/>
      </c>
      <c r="O33" t="s">
        <v>1887</v>
      </c>
    </row>
    <row r="34" spans="1:15" x14ac:dyDescent="0.35">
      <c r="A34" t="s">
        <v>1888</v>
      </c>
      <c r="B34" t="e">
        <f t="shared" si="2"/>
        <v>#VALUE!</v>
      </c>
      <c r="C34" t="e">
        <f t="shared" si="2"/>
        <v>#VALUE!</v>
      </c>
      <c r="D34" t="e">
        <f t="shared" si="2"/>
        <v>#VALUE!</v>
      </c>
      <c r="E34" t="e">
        <f t="shared" si="2"/>
        <v>#VALUE!</v>
      </c>
      <c r="F34" t="e">
        <f t="shared" si="2"/>
        <v>#VALUE!</v>
      </c>
      <c r="G34" t="e">
        <f t="shared" si="2"/>
        <v>#VALUE!</v>
      </c>
      <c r="H34" t="e">
        <f t="shared" si="2"/>
        <v>#VALUE!</v>
      </c>
      <c r="I34" t="e">
        <f t="shared" si="2"/>
        <v>#VALUE!</v>
      </c>
      <c r="J34" t="e">
        <f t="shared" si="2"/>
        <v>#VALUE!</v>
      </c>
      <c r="K34" t="e">
        <f t="shared" si="2"/>
        <v>#VALUE!</v>
      </c>
      <c r="L34">
        <f t="shared" si="3"/>
        <v>0</v>
      </c>
      <c r="M34" t="str">
        <f t="shared" si="4"/>
        <v/>
      </c>
      <c r="O34" t="s">
        <v>1888</v>
      </c>
    </row>
    <row r="35" spans="1:15" x14ac:dyDescent="0.35">
      <c r="A35" t="s">
        <v>1889</v>
      </c>
      <c r="B35" t="e">
        <f t="shared" ref="B35:K60" si="5">SEARCH(B$1,$A35)</f>
        <v>#VALUE!</v>
      </c>
      <c r="C35" t="e">
        <f t="shared" si="5"/>
        <v>#VALUE!</v>
      </c>
      <c r="D35">
        <f t="shared" si="5"/>
        <v>129</v>
      </c>
      <c r="E35" t="e">
        <f t="shared" si="5"/>
        <v>#VALUE!</v>
      </c>
      <c r="F35" t="e">
        <f t="shared" si="5"/>
        <v>#VALUE!</v>
      </c>
      <c r="G35" t="e">
        <f t="shared" si="5"/>
        <v>#VALUE!</v>
      </c>
      <c r="H35" t="e">
        <f t="shared" si="5"/>
        <v>#VALUE!</v>
      </c>
      <c r="I35">
        <f t="shared" si="5"/>
        <v>128</v>
      </c>
      <c r="J35" t="e">
        <f t="shared" si="5"/>
        <v>#VALUE!</v>
      </c>
      <c r="K35" t="e">
        <f t="shared" si="5"/>
        <v>#VALUE!</v>
      </c>
      <c r="L35">
        <f t="shared" si="3"/>
        <v>257</v>
      </c>
      <c r="M35" t="str">
        <f t="shared" si="4"/>
        <v/>
      </c>
      <c r="O35" t="s">
        <v>1889</v>
      </c>
    </row>
    <row r="36" spans="1:15" x14ac:dyDescent="0.35">
      <c r="A36" t="s">
        <v>1890</v>
      </c>
      <c r="B36" t="e">
        <f t="shared" si="5"/>
        <v>#VALUE!</v>
      </c>
      <c r="C36" t="e">
        <f t="shared" si="5"/>
        <v>#VALUE!</v>
      </c>
      <c r="D36" t="e">
        <f t="shared" si="5"/>
        <v>#VALUE!</v>
      </c>
      <c r="E36" t="e">
        <f t="shared" si="5"/>
        <v>#VALUE!</v>
      </c>
      <c r="F36" t="e">
        <f t="shared" si="5"/>
        <v>#VALUE!</v>
      </c>
      <c r="G36" t="e">
        <f t="shared" si="5"/>
        <v>#VALUE!</v>
      </c>
      <c r="H36" t="e">
        <f t="shared" si="5"/>
        <v>#VALUE!</v>
      </c>
      <c r="I36" t="e">
        <f t="shared" si="5"/>
        <v>#VALUE!</v>
      </c>
      <c r="J36" t="e">
        <f t="shared" si="5"/>
        <v>#VALUE!</v>
      </c>
      <c r="K36" t="e">
        <f t="shared" si="5"/>
        <v>#VALUE!</v>
      </c>
      <c r="L36">
        <f t="shared" si="3"/>
        <v>0</v>
      </c>
      <c r="M36" t="str">
        <f t="shared" si="4"/>
        <v/>
      </c>
      <c r="O36" t="s">
        <v>1890</v>
      </c>
    </row>
    <row r="37" spans="1:15" x14ac:dyDescent="0.35">
      <c r="A37" t="s">
        <v>1891</v>
      </c>
      <c r="B37" t="e">
        <f t="shared" si="5"/>
        <v>#VALUE!</v>
      </c>
      <c r="C37" t="e">
        <f t="shared" si="5"/>
        <v>#VALUE!</v>
      </c>
      <c r="D37" t="e">
        <f t="shared" si="5"/>
        <v>#VALUE!</v>
      </c>
      <c r="E37" t="e">
        <f t="shared" si="5"/>
        <v>#VALUE!</v>
      </c>
      <c r="F37" t="e">
        <f t="shared" si="5"/>
        <v>#VALUE!</v>
      </c>
      <c r="G37" t="e">
        <f t="shared" si="5"/>
        <v>#VALUE!</v>
      </c>
      <c r="H37" t="e">
        <f t="shared" si="5"/>
        <v>#VALUE!</v>
      </c>
      <c r="I37" t="e">
        <f t="shared" si="5"/>
        <v>#VALUE!</v>
      </c>
      <c r="J37" t="e">
        <f t="shared" si="5"/>
        <v>#VALUE!</v>
      </c>
      <c r="K37" t="e">
        <f t="shared" si="5"/>
        <v>#VALUE!</v>
      </c>
      <c r="L37">
        <f t="shared" si="3"/>
        <v>0</v>
      </c>
      <c r="M37" t="str">
        <f t="shared" si="4"/>
        <v>From embodied interaction to compositional referential communication: A minimal agent-based model without dedicated communication channels . . . . . . . . . . . . . . . . . . . . . . . . . . . . . . . . . . . . . . . . . . . . . . . . . . . . . 79</v>
      </c>
      <c r="O37" t="s">
        <v>2092</v>
      </c>
    </row>
    <row r="38" spans="1:15" x14ac:dyDescent="0.35">
      <c r="A38" t="s">
        <v>1892</v>
      </c>
      <c r="B38" t="e">
        <f t="shared" si="5"/>
        <v>#VALUE!</v>
      </c>
      <c r="C38" t="e">
        <f t="shared" si="5"/>
        <v>#VALUE!</v>
      </c>
      <c r="D38" t="e">
        <f t="shared" si="5"/>
        <v>#VALUE!</v>
      </c>
      <c r="E38" t="e">
        <f t="shared" si="5"/>
        <v>#VALUE!</v>
      </c>
      <c r="F38" t="e">
        <f t="shared" si="5"/>
        <v>#VALUE!</v>
      </c>
      <c r="G38" t="e">
        <f t="shared" si="5"/>
        <v>#VALUE!</v>
      </c>
      <c r="H38" t="e">
        <f t="shared" si="5"/>
        <v>#VALUE!</v>
      </c>
      <c r="I38">
        <f t="shared" si="5"/>
        <v>154</v>
      </c>
      <c r="J38" t="e">
        <f t="shared" si="5"/>
        <v>#VALUE!</v>
      </c>
      <c r="K38">
        <f t="shared" si="5"/>
        <v>155</v>
      </c>
      <c r="L38">
        <f t="shared" si="3"/>
        <v>309</v>
      </c>
      <c r="M38" t="str">
        <f t="shared" si="4"/>
        <v/>
      </c>
    </row>
    <row r="39" spans="1:15" x14ac:dyDescent="0.35">
      <c r="A39" t="s">
        <v>1893</v>
      </c>
      <c r="B39" t="e">
        <f t="shared" si="5"/>
        <v>#VALUE!</v>
      </c>
      <c r="C39" t="e">
        <f t="shared" si="5"/>
        <v>#VALUE!</v>
      </c>
      <c r="D39" t="e">
        <f t="shared" si="5"/>
        <v>#VALUE!</v>
      </c>
      <c r="E39" t="e">
        <f t="shared" si="5"/>
        <v>#VALUE!</v>
      </c>
      <c r="F39" t="e">
        <f t="shared" si="5"/>
        <v>#VALUE!</v>
      </c>
      <c r="G39" t="e">
        <f t="shared" si="5"/>
        <v>#VALUE!</v>
      </c>
      <c r="H39" t="e">
        <f t="shared" si="5"/>
        <v>#VALUE!</v>
      </c>
      <c r="I39" t="e">
        <f t="shared" si="5"/>
        <v>#VALUE!</v>
      </c>
      <c r="J39" t="e">
        <f t="shared" si="5"/>
        <v>#VALUE!</v>
      </c>
      <c r="K39" t="e">
        <f t="shared" si="5"/>
        <v>#VALUE!</v>
      </c>
      <c r="L39">
        <f t="shared" si="3"/>
        <v>0</v>
      </c>
      <c r="M39" t="str">
        <f t="shared" si="4"/>
        <v/>
      </c>
      <c r="O39" t="s">
        <v>1893</v>
      </c>
    </row>
    <row r="40" spans="1:15" x14ac:dyDescent="0.35">
      <c r="A40" t="s">
        <v>1894</v>
      </c>
      <c r="B40" t="e">
        <f t="shared" si="5"/>
        <v>#VALUE!</v>
      </c>
      <c r="C40" t="e">
        <f t="shared" si="5"/>
        <v>#VALUE!</v>
      </c>
      <c r="D40" t="e">
        <f t="shared" si="5"/>
        <v>#VALUE!</v>
      </c>
      <c r="E40" t="e">
        <f t="shared" si="5"/>
        <v>#VALUE!</v>
      </c>
      <c r="F40" t="e">
        <f t="shared" si="5"/>
        <v>#VALUE!</v>
      </c>
      <c r="G40" t="e">
        <f t="shared" si="5"/>
        <v>#VALUE!</v>
      </c>
      <c r="H40" t="e">
        <f t="shared" si="5"/>
        <v>#VALUE!</v>
      </c>
      <c r="I40">
        <f t="shared" si="5"/>
        <v>167</v>
      </c>
      <c r="J40">
        <f t="shared" si="5"/>
        <v>166</v>
      </c>
      <c r="K40" t="e">
        <f t="shared" si="5"/>
        <v>#VALUE!</v>
      </c>
      <c r="L40">
        <f t="shared" si="3"/>
        <v>333</v>
      </c>
      <c r="M40" t="str">
        <f t="shared" si="4"/>
        <v/>
      </c>
      <c r="O40" t="s">
        <v>1894</v>
      </c>
    </row>
    <row r="41" spans="1:15" x14ac:dyDescent="0.35">
      <c r="A41" t="s">
        <v>1895</v>
      </c>
      <c r="B41" t="e">
        <f t="shared" si="5"/>
        <v>#VALUE!</v>
      </c>
      <c r="C41" t="e">
        <f t="shared" si="5"/>
        <v>#VALUE!</v>
      </c>
      <c r="D41" t="e">
        <f t="shared" si="5"/>
        <v>#VALUE!</v>
      </c>
      <c r="E41" t="e">
        <f t="shared" si="5"/>
        <v>#VALUE!</v>
      </c>
      <c r="F41" t="e">
        <f t="shared" si="5"/>
        <v>#VALUE!</v>
      </c>
      <c r="G41" t="e">
        <f t="shared" si="5"/>
        <v>#VALUE!</v>
      </c>
      <c r="H41" t="e">
        <f t="shared" si="5"/>
        <v>#VALUE!</v>
      </c>
      <c r="I41" t="e">
        <f t="shared" si="5"/>
        <v>#VALUE!</v>
      </c>
      <c r="J41" t="e">
        <f t="shared" si="5"/>
        <v>#VALUE!</v>
      </c>
      <c r="K41" t="e">
        <f t="shared" si="5"/>
        <v>#VALUE!</v>
      </c>
      <c r="L41">
        <f t="shared" si="3"/>
        <v>0</v>
      </c>
      <c r="M41" t="str">
        <f t="shared" si="4"/>
        <v/>
      </c>
      <c r="O41" t="s">
        <v>1895</v>
      </c>
    </row>
    <row r="42" spans="1:15" x14ac:dyDescent="0.35">
      <c r="A42" t="s">
        <v>1896</v>
      </c>
      <c r="B42" t="e">
        <f t="shared" si="5"/>
        <v>#VALUE!</v>
      </c>
      <c r="C42" t="e">
        <f t="shared" si="5"/>
        <v>#VALUE!</v>
      </c>
      <c r="D42" t="e">
        <f t="shared" si="5"/>
        <v>#VALUE!</v>
      </c>
      <c r="E42" t="e">
        <f t="shared" si="5"/>
        <v>#VALUE!</v>
      </c>
      <c r="F42" t="e">
        <f t="shared" si="5"/>
        <v>#VALUE!</v>
      </c>
      <c r="G42">
        <f t="shared" si="5"/>
        <v>108</v>
      </c>
      <c r="H42" t="e">
        <f t="shared" si="5"/>
        <v>#VALUE!</v>
      </c>
      <c r="I42" t="e">
        <f t="shared" si="5"/>
        <v>#VALUE!</v>
      </c>
      <c r="J42" t="e">
        <f t="shared" si="5"/>
        <v>#VALUE!</v>
      </c>
      <c r="K42">
        <f t="shared" si="5"/>
        <v>107</v>
      </c>
      <c r="L42">
        <f t="shared" si="3"/>
        <v>215</v>
      </c>
      <c r="M42" t="str">
        <f t="shared" si="4"/>
        <v/>
      </c>
      <c r="O42" t="s">
        <v>1896</v>
      </c>
    </row>
    <row r="43" spans="1:15" x14ac:dyDescent="0.35">
      <c r="A43" t="s">
        <v>1897</v>
      </c>
      <c r="B43" t="e">
        <f t="shared" si="5"/>
        <v>#VALUE!</v>
      </c>
      <c r="C43" t="e">
        <f t="shared" si="5"/>
        <v>#VALUE!</v>
      </c>
      <c r="D43" t="e">
        <f t="shared" si="5"/>
        <v>#VALUE!</v>
      </c>
      <c r="E43" t="e">
        <f t="shared" si="5"/>
        <v>#VALUE!</v>
      </c>
      <c r="F43" t="e">
        <f t="shared" si="5"/>
        <v>#VALUE!</v>
      </c>
      <c r="G43" t="e">
        <f t="shared" si="5"/>
        <v>#VALUE!</v>
      </c>
      <c r="H43" t="e">
        <f t="shared" si="5"/>
        <v>#VALUE!</v>
      </c>
      <c r="I43" t="e">
        <f t="shared" si="5"/>
        <v>#VALUE!</v>
      </c>
      <c r="J43" t="e">
        <f t="shared" si="5"/>
        <v>#VALUE!</v>
      </c>
      <c r="K43" t="e">
        <f t="shared" si="5"/>
        <v>#VALUE!</v>
      </c>
      <c r="L43">
        <f t="shared" si="3"/>
        <v>0</v>
      </c>
      <c r="M43" t="str">
        <f t="shared" si="4"/>
        <v/>
      </c>
      <c r="N43" t="str">
        <f>_xlfn.CONCAT(A43," ",A44)</f>
        <v>Matthew Hale, Edgar Buchanan, Alan Winfield, Jon Timmis, Emma Hart, Agoston Eiben, Mike Angus, Frank Veenstra, Wei Li, Robert Woolley, Matteo De Carlo and Andy Tyrrell</v>
      </c>
      <c r="O43" t="s">
        <v>2093</v>
      </c>
    </row>
    <row r="44" spans="1:15" x14ac:dyDescent="0.35">
      <c r="A44" t="s">
        <v>1898</v>
      </c>
      <c r="B44" t="e">
        <f t="shared" si="5"/>
        <v>#VALUE!</v>
      </c>
      <c r="C44" t="e">
        <f t="shared" si="5"/>
        <v>#VALUE!</v>
      </c>
      <c r="D44" t="e">
        <f t="shared" si="5"/>
        <v>#VALUE!</v>
      </c>
      <c r="E44" t="e">
        <f t="shared" si="5"/>
        <v>#VALUE!</v>
      </c>
      <c r="F44" t="e">
        <f t="shared" si="5"/>
        <v>#VALUE!</v>
      </c>
      <c r="G44" t="e">
        <f t="shared" si="5"/>
        <v>#VALUE!</v>
      </c>
      <c r="H44" t="e">
        <f t="shared" si="5"/>
        <v>#VALUE!</v>
      </c>
      <c r="I44" t="e">
        <f t="shared" si="5"/>
        <v>#VALUE!</v>
      </c>
      <c r="J44" t="e">
        <f t="shared" si="5"/>
        <v>#VALUE!</v>
      </c>
      <c r="K44" t="e">
        <f t="shared" si="5"/>
        <v>#VALUE!</v>
      </c>
      <c r="L44">
        <f t="shared" si="3"/>
        <v>0</v>
      </c>
    </row>
    <row r="45" spans="1:15" x14ac:dyDescent="0.35">
      <c r="A45" t="s">
        <v>1899</v>
      </c>
      <c r="B45">
        <f t="shared" si="5"/>
        <v>103</v>
      </c>
      <c r="C45">
        <f t="shared" si="5"/>
        <v>102</v>
      </c>
      <c r="D45" t="e">
        <f t="shared" si="5"/>
        <v>#VALUE!</v>
      </c>
      <c r="E45">
        <f t="shared" si="5"/>
        <v>104</v>
      </c>
      <c r="F45" t="e">
        <f t="shared" si="5"/>
        <v>#VALUE!</v>
      </c>
      <c r="G45" t="e">
        <f t="shared" si="5"/>
        <v>#VALUE!</v>
      </c>
      <c r="H45" t="e">
        <f t="shared" si="5"/>
        <v>#VALUE!</v>
      </c>
      <c r="I45" t="e">
        <f t="shared" si="5"/>
        <v>#VALUE!</v>
      </c>
      <c r="J45" t="e">
        <f t="shared" si="5"/>
        <v>#VALUE!</v>
      </c>
      <c r="K45" t="e">
        <f t="shared" si="5"/>
        <v>#VALUE!</v>
      </c>
      <c r="L45">
        <f t="shared" si="3"/>
        <v>309</v>
      </c>
      <c r="M45" t="str">
        <f t="shared" si="4"/>
        <v/>
      </c>
      <c r="O45" t="s">
        <v>1899</v>
      </c>
    </row>
    <row r="46" spans="1:15" x14ac:dyDescent="0.35">
      <c r="A46" t="s">
        <v>1900</v>
      </c>
      <c r="B46" t="e">
        <f t="shared" si="5"/>
        <v>#VALUE!</v>
      </c>
      <c r="C46" t="e">
        <f t="shared" si="5"/>
        <v>#VALUE!</v>
      </c>
      <c r="D46" t="e">
        <f t="shared" si="5"/>
        <v>#VALUE!</v>
      </c>
      <c r="E46" t="e">
        <f t="shared" si="5"/>
        <v>#VALUE!</v>
      </c>
      <c r="F46" t="e">
        <f t="shared" si="5"/>
        <v>#VALUE!</v>
      </c>
      <c r="G46" t="e">
        <f t="shared" si="5"/>
        <v>#VALUE!</v>
      </c>
      <c r="H46" t="e">
        <f t="shared" si="5"/>
        <v>#VALUE!</v>
      </c>
      <c r="I46" t="e">
        <f t="shared" si="5"/>
        <v>#VALUE!</v>
      </c>
      <c r="J46" t="e">
        <f t="shared" si="5"/>
        <v>#VALUE!</v>
      </c>
      <c r="K46" t="e">
        <f t="shared" si="5"/>
        <v>#VALUE!</v>
      </c>
      <c r="L46">
        <f t="shared" si="3"/>
        <v>0</v>
      </c>
      <c r="M46" t="str">
        <f t="shared" si="4"/>
        <v/>
      </c>
      <c r="N46" t="str">
        <f>_xlfn.CONCAT(A46," ",A47)</f>
        <v>Peter Sunehag, Guy Lever, Siqi Liu, Josh Merel, Nicolas Heess, Joel Leibo, Edward Hughes, Tom Eccles and Thore Graepel</v>
      </c>
      <c r="O46" t="s">
        <v>2094</v>
      </c>
    </row>
    <row r="47" spans="1:15" x14ac:dyDescent="0.35">
      <c r="A47" t="s">
        <v>1901</v>
      </c>
      <c r="B47" t="e">
        <f t="shared" si="5"/>
        <v>#VALUE!</v>
      </c>
      <c r="C47" t="e">
        <f t="shared" si="5"/>
        <v>#VALUE!</v>
      </c>
      <c r="D47" t="e">
        <f t="shared" si="5"/>
        <v>#VALUE!</v>
      </c>
      <c r="E47" t="e">
        <f t="shared" si="5"/>
        <v>#VALUE!</v>
      </c>
      <c r="F47" t="e">
        <f t="shared" si="5"/>
        <v>#VALUE!</v>
      </c>
      <c r="G47" t="e">
        <f t="shared" si="5"/>
        <v>#VALUE!</v>
      </c>
      <c r="H47" t="e">
        <f t="shared" si="5"/>
        <v>#VALUE!</v>
      </c>
      <c r="I47" t="e">
        <f t="shared" si="5"/>
        <v>#VALUE!</v>
      </c>
      <c r="J47" t="e">
        <f t="shared" si="5"/>
        <v>#VALUE!</v>
      </c>
      <c r="K47" t="e">
        <f t="shared" si="5"/>
        <v>#VALUE!</v>
      </c>
      <c r="L47">
        <f t="shared" si="3"/>
        <v>0</v>
      </c>
    </row>
    <row r="48" spans="1:15" x14ac:dyDescent="0.35">
      <c r="A48" t="s">
        <v>1902</v>
      </c>
      <c r="B48" t="e">
        <f t="shared" si="5"/>
        <v>#VALUE!</v>
      </c>
      <c r="C48">
        <f t="shared" si="5"/>
        <v>143</v>
      </c>
      <c r="D48" t="e">
        <f t="shared" si="5"/>
        <v>#VALUE!</v>
      </c>
      <c r="E48" t="e">
        <f t="shared" si="5"/>
        <v>#VALUE!</v>
      </c>
      <c r="F48" t="e">
        <f t="shared" si="5"/>
        <v>#VALUE!</v>
      </c>
      <c r="G48" t="e">
        <f t="shared" si="5"/>
        <v>#VALUE!</v>
      </c>
      <c r="H48" t="e">
        <f t="shared" si="5"/>
        <v>#VALUE!</v>
      </c>
      <c r="I48" t="e">
        <f t="shared" si="5"/>
        <v>#VALUE!</v>
      </c>
      <c r="J48" t="e">
        <f t="shared" si="5"/>
        <v>#VALUE!</v>
      </c>
      <c r="K48" t="e">
        <f t="shared" si="5"/>
        <v>#VALUE!</v>
      </c>
      <c r="L48">
        <f t="shared" si="3"/>
        <v>143</v>
      </c>
      <c r="M48" t="str">
        <f t="shared" si="4"/>
        <v/>
      </c>
      <c r="O48" t="s">
        <v>1902</v>
      </c>
    </row>
    <row r="49" spans="1:15" x14ac:dyDescent="0.35">
      <c r="A49" t="s">
        <v>169</v>
      </c>
      <c r="B49" t="e">
        <f t="shared" si="5"/>
        <v>#VALUE!</v>
      </c>
      <c r="C49" t="e">
        <f t="shared" si="5"/>
        <v>#VALUE!</v>
      </c>
      <c r="D49" t="e">
        <f t="shared" si="5"/>
        <v>#VALUE!</v>
      </c>
      <c r="E49" t="e">
        <f t="shared" si="5"/>
        <v>#VALUE!</v>
      </c>
      <c r="F49" t="e">
        <f t="shared" si="5"/>
        <v>#VALUE!</v>
      </c>
      <c r="G49" t="e">
        <f t="shared" si="5"/>
        <v>#VALUE!</v>
      </c>
      <c r="H49" t="e">
        <f t="shared" si="5"/>
        <v>#VALUE!</v>
      </c>
      <c r="I49" t="e">
        <f t="shared" si="5"/>
        <v>#VALUE!</v>
      </c>
      <c r="J49" t="e">
        <f t="shared" si="5"/>
        <v>#VALUE!</v>
      </c>
      <c r="K49" t="e">
        <f t="shared" si="5"/>
        <v>#VALUE!</v>
      </c>
      <c r="L49">
        <f t="shared" si="3"/>
        <v>0</v>
      </c>
      <c r="M49" t="str">
        <f t="shared" si="4"/>
        <v/>
      </c>
      <c r="O49" t="s">
        <v>169</v>
      </c>
    </row>
    <row r="50" spans="1:15" x14ac:dyDescent="0.35">
      <c r="A50" t="s">
        <v>1903</v>
      </c>
      <c r="B50" t="e">
        <f t="shared" si="5"/>
        <v>#VALUE!</v>
      </c>
      <c r="C50">
        <f t="shared" si="5"/>
        <v>143</v>
      </c>
      <c r="D50" t="e">
        <f t="shared" si="5"/>
        <v>#VALUE!</v>
      </c>
      <c r="E50" t="e">
        <f t="shared" si="5"/>
        <v>#VALUE!</v>
      </c>
      <c r="F50" t="e">
        <f t="shared" si="5"/>
        <v>#VALUE!</v>
      </c>
      <c r="G50" t="e">
        <f t="shared" si="5"/>
        <v>#VALUE!</v>
      </c>
      <c r="H50" t="e">
        <f t="shared" si="5"/>
        <v>#VALUE!</v>
      </c>
      <c r="I50" t="e">
        <f t="shared" si="5"/>
        <v>#VALUE!</v>
      </c>
      <c r="J50" t="e">
        <f t="shared" si="5"/>
        <v>#VALUE!</v>
      </c>
      <c r="K50">
        <f t="shared" si="5"/>
        <v>145</v>
      </c>
      <c r="L50">
        <f t="shared" si="3"/>
        <v>288</v>
      </c>
      <c r="M50" t="str">
        <f t="shared" si="4"/>
        <v/>
      </c>
      <c r="O50" t="s">
        <v>1903</v>
      </c>
    </row>
    <row r="51" spans="1:15" x14ac:dyDescent="0.35">
      <c r="A51" t="s">
        <v>1904</v>
      </c>
      <c r="B51" t="e">
        <f t="shared" si="5"/>
        <v>#VALUE!</v>
      </c>
      <c r="C51" t="e">
        <f t="shared" si="5"/>
        <v>#VALUE!</v>
      </c>
      <c r="D51" t="e">
        <f t="shared" si="5"/>
        <v>#VALUE!</v>
      </c>
      <c r="E51" t="e">
        <f t="shared" si="5"/>
        <v>#VALUE!</v>
      </c>
      <c r="F51" t="e">
        <f t="shared" si="5"/>
        <v>#VALUE!</v>
      </c>
      <c r="G51" t="e">
        <f t="shared" si="5"/>
        <v>#VALUE!</v>
      </c>
      <c r="H51" t="e">
        <f t="shared" si="5"/>
        <v>#VALUE!</v>
      </c>
      <c r="I51" t="e">
        <f t="shared" si="5"/>
        <v>#VALUE!</v>
      </c>
      <c r="J51" t="e">
        <f t="shared" si="5"/>
        <v>#VALUE!</v>
      </c>
      <c r="K51" t="e">
        <f t="shared" si="5"/>
        <v>#VALUE!</v>
      </c>
      <c r="L51">
        <f t="shared" si="3"/>
        <v>0</v>
      </c>
      <c r="M51" t="str">
        <f t="shared" si="4"/>
        <v/>
      </c>
      <c r="O51" t="s">
        <v>1904</v>
      </c>
    </row>
    <row r="52" spans="1:15" x14ac:dyDescent="0.35">
      <c r="A52" t="s">
        <v>1905</v>
      </c>
      <c r="B52" t="e">
        <f t="shared" si="5"/>
        <v>#VALUE!</v>
      </c>
      <c r="C52">
        <f t="shared" si="5"/>
        <v>147</v>
      </c>
      <c r="D52">
        <f t="shared" si="5"/>
        <v>148</v>
      </c>
      <c r="E52" t="e">
        <f t="shared" si="5"/>
        <v>#VALUE!</v>
      </c>
      <c r="F52" t="e">
        <f t="shared" si="5"/>
        <v>#VALUE!</v>
      </c>
      <c r="G52" t="e">
        <f t="shared" si="5"/>
        <v>#VALUE!</v>
      </c>
      <c r="H52" t="e">
        <f t="shared" si="5"/>
        <v>#VALUE!</v>
      </c>
      <c r="I52">
        <f t="shared" si="5"/>
        <v>149</v>
      </c>
      <c r="J52" t="e">
        <f t="shared" si="5"/>
        <v>#VALUE!</v>
      </c>
      <c r="K52" t="e">
        <f t="shared" si="5"/>
        <v>#VALUE!</v>
      </c>
      <c r="L52">
        <f t="shared" si="3"/>
        <v>444</v>
      </c>
      <c r="M52" t="str">
        <f t="shared" si="4"/>
        <v/>
      </c>
      <c r="O52" t="s">
        <v>1905</v>
      </c>
    </row>
    <row r="53" spans="1:15" x14ac:dyDescent="0.35">
      <c r="A53" t="s">
        <v>1906</v>
      </c>
      <c r="B53" t="e">
        <f t="shared" si="5"/>
        <v>#VALUE!</v>
      </c>
      <c r="C53" t="e">
        <f t="shared" si="5"/>
        <v>#VALUE!</v>
      </c>
      <c r="D53" t="e">
        <f t="shared" si="5"/>
        <v>#VALUE!</v>
      </c>
      <c r="E53" t="e">
        <f t="shared" si="5"/>
        <v>#VALUE!</v>
      </c>
      <c r="F53" t="e">
        <f t="shared" si="5"/>
        <v>#VALUE!</v>
      </c>
      <c r="G53" t="e">
        <f t="shared" si="5"/>
        <v>#VALUE!</v>
      </c>
      <c r="H53" t="e">
        <f t="shared" si="5"/>
        <v>#VALUE!</v>
      </c>
      <c r="I53" t="e">
        <f t="shared" si="5"/>
        <v>#VALUE!</v>
      </c>
      <c r="J53" t="e">
        <f t="shared" si="5"/>
        <v>#VALUE!</v>
      </c>
      <c r="K53" t="e">
        <f t="shared" si="5"/>
        <v>#VALUE!</v>
      </c>
      <c r="L53">
        <f t="shared" si="3"/>
        <v>0</v>
      </c>
      <c r="M53" t="str">
        <f t="shared" si="4"/>
        <v/>
      </c>
      <c r="O53" t="s">
        <v>1906</v>
      </c>
    </row>
    <row r="54" spans="1:15" x14ac:dyDescent="0.35">
      <c r="A54" t="s">
        <v>1907</v>
      </c>
      <c r="B54" t="e">
        <f t="shared" si="5"/>
        <v>#VALUE!</v>
      </c>
      <c r="C54" t="e">
        <f t="shared" si="5"/>
        <v>#VALUE!</v>
      </c>
      <c r="D54" t="e">
        <f t="shared" si="5"/>
        <v>#VALUE!</v>
      </c>
      <c r="E54" t="e">
        <f t="shared" si="5"/>
        <v>#VALUE!</v>
      </c>
      <c r="F54" t="e">
        <f t="shared" si="5"/>
        <v>#VALUE!</v>
      </c>
      <c r="G54" t="e">
        <f t="shared" si="5"/>
        <v>#VALUE!</v>
      </c>
      <c r="H54" t="e">
        <f t="shared" si="5"/>
        <v>#VALUE!</v>
      </c>
      <c r="I54" t="e">
        <f t="shared" si="5"/>
        <v>#VALUE!</v>
      </c>
      <c r="J54" t="e">
        <f t="shared" si="5"/>
        <v>#VALUE!</v>
      </c>
      <c r="K54" t="e">
        <f t="shared" si="5"/>
        <v>#VALUE!</v>
      </c>
      <c r="L54">
        <f t="shared" si="3"/>
        <v>0</v>
      </c>
      <c r="M54" t="str">
        <f t="shared" si="4"/>
        <v>Pathways to Good Healthcare Services and Patient Satisfaction: An Evolutionary Game Theoretical Approach . . . . . . . . . . . . . . . . . . . . . . . . . . . . . . . . . . . . . . . . . . . . . . . . . . . . . . . . . . . . . . . . . . . . . . . . . . . . . . . . . . . . . . . . . . . . . 135</v>
      </c>
      <c r="O54" t="s">
        <v>2095</v>
      </c>
    </row>
    <row r="55" spans="1:15" x14ac:dyDescent="0.35">
      <c r="A55" t="s">
        <v>1908</v>
      </c>
      <c r="B55" t="e">
        <f t="shared" si="5"/>
        <v>#VALUE!</v>
      </c>
      <c r="C55">
        <f t="shared" si="5"/>
        <v>196</v>
      </c>
      <c r="D55" t="e">
        <f t="shared" si="5"/>
        <v>#VALUE!</v>
      </c>
      <c r="E55">
        <f t="shared" si="5"/>
        <v>197</v>
      </c>
      <c r="F55" t="e">
        <f t="shared" si="5"/>
        <v>#VALUE!</v>
      </c>
      <c r="G55">
        <f t="shared" si="5"/>
        <v>198</v>
      </c>
      <c r="H55" t="e">
        <f t="shared" si="5"/>
        <v>#VALUE!</v>
      </c>
      <c r="I55" t="e">
        <f t="shared" si="5"/>
        <v>#VALUE!</v>
      </c>
      <c r="J55" t="e">
        <f t="shared" si="5"/>
        <v>#VALUE!</v>
      </c>
      <c r="K55" t="e">
        <f t="shared" si="5"/>
        <v>#VALUE!</v>
      </c>
      <c r="L55">
        <f t="shared" si="3"/>
        <v>591</v>
      </c>
      <c r="M55" t="str">
        <f t="shared" si="4"/>
        <v/>
      </c>
    </row>
    <row r="56" spans="1:15" x14ac:dyDescent="0.35">
      <c r="A56" t="s">
        <v>1909</v>
      </c>
      <c r="B56" t="e">
        <f t="shared" si="5"/>
        <v>#VALUE!</v>
      </c>
      <c r="C56" t="e">
        <f t="shared" si="5"/>
        <v>#VALUE!</v>
      </c>
      <c r="D56" t="e">
        <f t="shared" si="5"/>
        <v>#VALUE!</v>
      </c>
      <c r="E56" t="e">
        <f t="shared" si="5"/>
        <v>#VALUE!</v>
      </c>
      <c r="F56" t="e">
        <f t="shared" si="5"/>
        <v>#VALUE!</v>
      </c>
      <c r="G56" t="e">
        <f t="shared" si="5"/>
        <v>#VALUE!</v>
      </c>
      <c r="H56" t="e">
        <f t="shared" si="5"/>
        <v>#VALUE!</v>
      </c>
      <c r="I56" t="e">
        <f t="shared" si="5"/>
        <v>#VALUE!</v>
      </c>
      <c r="J56" t="e">
        <f t="shared" si="5"/>
        <v>#VALUE!</v>
      </c>
      <c r="K56" t="e">
        <f t="shared" si="5"/>
        <v>#VALUE!</v>
      </c>
      <c r="L56">
        <f t="shared" si="3"/>
        <v>0</v>
      </c>
      <c r="M56" t="str">
        <f t="shared" si="4"/>
        <v/>
      </c>
      <c r="O56" t="s">
        <v>1909</v>
      </c>
    </row>
    <row r="57" spans="1:15" x14ac:dyDescent="0.35">
      <c r="A57" t="s">
        <v>1910</v>
      </c>
      <c r="B57" t="e">
        <f t="shared" si="5"/>
        <v>#VALUE!</v>
      </c>
      <c r="C57">
        <f t="shared" si="5"/>
        <v>109</v>
      </c>
      <c r="D57" t="e">
        <f t="shared" si="5"/>
        <v>#VALUE!</v>
      </c>
      <c r="E57">
        <f t="shared" si="5"/>
        <v>111</v>
      </c>
      <c r="F57">
        <f t="shared" si="5"/>
        <v>110</v>
      </c>
      <c r="G57" t="e">
        <f t="shared" si="5"/>
        <v>#VALUE!</v>
      </c>
      <c r="H57" t="e">
        <f t="shared" si="5"/>
        <v>#VALUE!</v>
      </c>
      <c r="I57" t="e">
        <f t="shared" si="5"/>
        <v>#VALUE!</v>
      </c>
      <c r="J57" t="e">
        <f t="shared" si="5"/>
        <v>#VALUE!</v>
      </c>
      <c r="K57" t="e">
        <f t="shared" si="5"/>
        <v>#VALUE!</v>
      </c>
      <c r="L57">
        <f t="shared" si="3"/>
        <v>330</v>
      </c>
      <c r="M57" t="str">
        <f t="shared" si="4"/>
        <v/>
      </c>
      <c r="O57" t="s">
        <v>1910</v>
      </c>
    </row>
    <row r="58" spans="1:15" x14ac:dyDescent="0.35">
      <c r="A58" t="s">
        <v>1911</v>
      </c>
      <c r="B58" t="e">
        <f t="shared" si="5"/>
        <v>#VALUE!</v>
      </c>
      <c r="C58" t="e">
        <f t="shared" si="5"/>
        <v>#VALUE!</v>
      </c>
      <c r="D58" t="e">
        <f t="shared" si="5"/>
        <v>#VALUE!</v>
      </c>
      <c r="E58" t="e">
        <f t="shared" si="5"/>
        <v>#VALUE!</v>
      </c>
      <c r="F58" t="e">
        <f t="shared" si="5"/>
        <v>#VALUE!</v>
      </c>
      <c r="G58" t="e">
        <f t="shared" si="5"/>
        <v>#VALUE!</v>
      </c>
      <c r="H58" t="e">
        <f t="shared" si="5"/>
        <v>#VALUE!</v>
      </c>
      <c r="I58" t="e">
        <f t="shared" si="5"/>
        <v>#VALUE!</v>
      </c>
      <c r="J58" t="e">
        <f t="shared" si="5"/>
        <v>#VALUE!</v>
      </c>
      <c r="K58" t="e">
        <f t="shared" si="5"/>
        <v>#VALUE!</v>
      </c>
      <c r="L58">
        <f t="shared" si="3"/>
        <v>0</v>
      </c>
      <c r="M58" t="str">
        <f t="shared" si="4"/>
        <v/>
      </c>
      <c r="O58" t="s">
        <v>1911</v>
      </c>
    </row>
    <row r="59" spans="1:15" x14ac:dyDescent="0.35">
      <c r="A59" t="s">
        <v>1912</v>
      </c>
      <c r="B59" t="e">
        <f t="shared" si="5"/>
        <v>#VALUE!</v>
      </c>
      <c r="C59">
        <f t="shared" si="5"/>
        <v>140</v>
      </c>
      <c r="D59" t="e">
        <f t="shared" si="5"/>
        <v>#VALUE!</v>
      </c>
      <c r="E59" t="e">
        <f t="shared" si="5"/>
        <v>#VALUE!</v>
      </c>
      <c r="F59">
        <f t="shared" si="5"/>
        <v>141</v>
      </c>
      <c r="G59">
        <f t="shared" si="5"/>
        <v>142</v>
      </c>
      <c r="H59" t="e">
        <f t="shared" si="5"/>
        <v>#VALUE!</v>
      </c>
      <c r="I59" t="e">
        <f t="shared" si="5"/>
        <v>#VALUE!</v>
      </c>
      <c r="J59" t="e">
        <f t="shared" si="5"/>
        <v>#VALUE!</v>
      </c>
      <c r="K59" t="e">
        <f t="shared" si="5"/>
        <v>#VALUE!</v>
      </c>
      <c r="L59">
        <f t="shared" si="3"/>
        <v>423</v>
      </c>
      <c r="M59" t="str">
        <f t="shared" si="4"/>
        <v/>
      </c>
      <c r="O59" t="s">
        <v>1912</v>
      </c>
    </row>
    <row r="60" spans="1:15" x14ac:dyDescent="0.35">
      <c r="A60" t="s">
        <v>1913</v>
      </c>
      <c r="B60" t="e">
        <f t="shared" si="5"/>
        <v>#VALUE!</v>
      </c>
      <c r="C60" t="e">
        <f t="shared" si="5"/>
        <v>#VALUE!</v>
      </c>
      <c r="D60" t="e">
        <f t="shared" si="5"/>
        <v>#VALUE!</v>
      </c>
      <c r="E60" t="e">
        <f t="shared" si="5"/>
        <v>#VALUE!</v>
      </c>
      <c r="F60" t="e">
        <f t="shared" si="5"/>
        <v>#VALUE!</v>
      </c>
      <c r="G60" t="e">
        <f t="shared" ref="C60:K88" si="6">SEARCH(G$1,$A60)</f>
        <v>#VALUE!</v>
      </c>
      <c r="H60" t="e">
        <f t="shared" si="6"/>
        <v>#VALUE!</v>
      </c>
      <c r="I60" t="e">
        <f t="shared" si="6"/>
        <v>#VALUE!</v>
      </c>
      <c r="J60" t="e">
        <f t="shared" si="6"/>
        <v>#VALUE!</v>
      </c>
      <c r="K60" t="e">
        <f t="shared" si="6"/>
        <v>#VALUE!</v>
      </c>
      <c r="L60">
        <f t="shared" si="3"/>
        <v>0</v>
      </c>
      <c r="M60" t="str">
        <f t="shared" si="4"/>
        <v/>
      </c>
      <c r="O60" t="s">
        <v>1913</v>
      </c>
    </row>
    <row r="61" spans="1:15" x14ac:dyDescent="0.35">
      <c r="A61" t="s">
        <v>1914</v>
      </c>
      <c r="B61" t="e">
        <f t="shared" ref="B61:B124" si="7">SEARCH(B$1,$A61)</f>
        <v>#VALUE!</v>
      </c>
      <c r="C61">
        <f t="shared" si="6"/>
        <v>101</v>
      </c>
      <c r="D61" t="e">
        <f t="shared" si="6"/>
        <v>#VALUE!</v>
      </c>
      <c r="E61">
        <f t="shared" si="6"/>
        <v>103</v>
      </c>
      <c r="F61" t="e">
        <f t="shared" si="6"/>
        <v>#VALUE!</v>
      </c>
      <c r="G61">
        <f t="shared" si="6"/>
        <v>102</v>
      </c>
      <c r="H61" t="e">
        <f t="shared" si="6"/>
        <v>#VALUE!</v>
      </c>
      <c r="I61" t="e">
        <f t="shared" si="6"/>
        <v>#VALUE!</v>
      </c>
      <c r="J61" t="e">
        <f t="shared" si="6"/>
        <v>#VALUE!</v>
      </c>
      <c r="K61" t="e">
        <f t="shared" si="6"/>
        <v>#VALUE!</v>
      </c>
      <c r="L61">
        <f t="shared" si="3"/>
        <v>306</v>
      </c>
      <c r="M61" t="str">
        <f t="shared" si="4"/>
        <v/>
      </c>
      <c r="O61" t="s">
        <v>1914</v>
      </c>
    </row>
    <row r="62" spans="1:15" x14ac:dyDescent="0.35">
      <c r="A62" t="s">
        <v>1915</v>
      </c>
      <c r="B62" t="e">
        <f t="shared" si="7"/>
        <v>#VALUE!</v>
      </c>
      <c r="C62" t="e">
        <f t="shared" si="6"/>
        <v>#VALUE!</v>
      </c>
      <c r="D62" t="e">
        <f t="shared" si="6"/>
        <v>#VALUE!</v>
      </c>
      <c r="E62" t="e">
        <f t="shared" si="6"/>
        <v>#VALUE!</v>
      </c>
      <c r="F62" t="e">
        <f t="shared" si="6"/>
        <v>#VALUE!</v>
      </c>
      <c r="G62" t="e">
        <f t="shared" si="6"/>
        <v>#VALUE!</v>
      </c>
      <c r="H62" t="e">
        <f t="shared" si="6"/>
        <v>#VALUE!</v>
      </c>
      <c r="I62" t="e">
        <f t="shared" si="6"/>
        <v>#VALUE!</v>
      </c>
      <c r="J62" t="e">
        <f t="shared" si="6"/>
        <v>#VALUE!</v>
      </c>
      <c r="K62" t="e">
        <f t="shared" si="6"/>
        <v>#VALUE!</v>
      </c>
      <c r="L62">
        <f t="shared" si="3"/>
        <v>0</v>
      </c>
      <c r="M62" t="str">
        <f t="shared" si="4"/>
        <v/>
      </c>
      <c r="O62" t="s">
        <v>1915</v>
      </c>
    </row>
    <row r="63" spans="1:15" x14ac:dyDescent="0.35">
      <c r="A63" t="s">
        <v>1916</v>
      </c>
      <c r="B63" t="e">
        <f t="shared" si="7"/>
        <v>#VALUE!</v>
      </c>
      <c r="C63" t="e">
        <f t="shared" si="6"/>
        <v>#VALUE!</v>
      </c>
      <c r="D63" t="e">
        <f t="shared" si="6"/>
        <v>#VALUE!</v>
      </c>
      <c r="E63" t="e">
        <f t="shared" si="6"/>
        <v>#VALUE!</v>
      </c>
      <c r="F63" t="e">
        <f t="shared" si="6"/>
        <v>#VALUE!</v>
      </c>
      <c r="G63" t="e">
        <f t="shared" si="6"/>
        <v>#VALUE!</v>
      </c>
      <c r="H63" t="e">
        <f t="shared" si="6"/>
        <v>#VALUE!</v>
      </c>
      <c r="I63" t="e">
        <f t="shared" si="6"/>
        <v>#VALUE!</v>
      </c>
      <c r="J63" t="e">
        <f t="shared" si="6"/>
        <v>#VALUE!</v>
      </c>
      <c r="K63" t="e">
        <f t="shared" si="6"/>
        <v>#VALUE!</v>
      </c>
      <c r="L63">
        <f t="shared" si="3"/>
        <v>0</v>
      </c>
      <c r="M63" t="str">
        <f t="shared" si="4"/>
        <v>Only Two Types of Strategies Enforce Linear Payoff Relationships Under Observation Errors in Repeated Prisoner’s Dilemma Games. . . . . . . . . . . . . . . . . . . . . . . . . . . . . . . . . . . . . . . . . . . . . . . . . . . . . . . . . . . . . . . . . . 161</v>
      </c>
      <c r="O63" t="s">
        <v>2096</v>
      </c>
    </row>
    <row r="64" spans="1:15" x14ac:dyDescent="0.35">
      <c r="A64" t="s">
        <v>1917</v>
      </c>
      <c r="B64" t="e">
        <f t="shared" si="7"/>
        <v>#VALUE!</v>
      </c>
      <c r="C64">
        <f t="shared" si="6"/>
        <v>166</v>
      </c>
      <c r="D64" t="e">
        <f t="shared" si="6"/>
        <v>#VALUE!</v>
      </c>
      <c r="E64" t="e">
        <f t="shared" si="6"/>
        <v>#VALUE!</v>
      </c>
      <c r="F64" t="e">
        <f t="shared" si="6"/>
        <v>#VALUE!</v>
      </c>
      <c r="G64" t="e">
        <f t="shared" si="6"/>
        <v>#VALUE!</v>
      </c>
      <c r="H64">
        <f t="shared" si="6"/>
        <v>167</v>
      </c>
      <c r="I64" t="e">
        <f t="shared" si="6"/>
        <v>#VALUE!</v>
      </c>
      <c r="J64" t="e">
        <f t="shared" si="6"/>
        <v>#VALUE!</v>
      </c>
      <c r="K64" t="e">
        <f t="shared" si="6"/>
        <v>#VALUE!</v>
      </c>
      <c r="L64">
        <f t="shared" si="3"/>
        <v>333</v>
      </c>
      <c r="M64" t="str">
        <f t="shared" si="4"/>
        <v/>
      </c>
    </row>
    <row r="65" spans="1:15" x14ac:dyDescent="0.35">
      <c r="A65" t="s">
        <v>1356</v>
      </c>
      <c r="B65" t="e">
        <f t="shared" si="7"/>
        <v>#VALUE!</v>
      </c>
      <c r="C65" t="e">
        <f t="shared" si="6"/>
        <v>#VALUE!</v>
      </c>
      <c r="D65" t="e">
        <f t="shared" si="6"/>
        <v>#VALUE!</v>
      </c>
      <c r="E65" t="e">
        <f t="shared" si="6"/>
        <v>#VALUE!</v>
      </c>
      <c r="F65" t="e">
        <f t="shared" si="6"/>
        <v>#VALUE!</v>
      </c>
      <c r="G65" t="e">
        <f t="shared" si="6"/>
        <v>#VALUE!</v>
      </c>
      <c r="H65" t="e">
        <f t="shared" si="6"/>
        <v>#VALUE!</v>
      </c>
      <c r="I65" t="e">
        <f t="shared" si="6"/>
        <v>#VALUE!</v>
      </c>
      <c r="J65" t="e">
        <f t="shared" si="6"/>
        <v>#VALUE!</v>
      </c>
      <c r="K65" t="e">
        <f t="shared" si="6"/>
        <v>#VALUE!</v>
      </c>
      <c r="L65">
        <f t="shared" si="3"/>
        <v>0</v>
      </c>
      <c r="M65" t="str">
        <f t="shared" si="4"/>
        <v/>
      </c>
      <c r="O65" t="s">
        <v>1356</v>
      </c>
    </row>
    <row r="66" spans="1:15" x14ac:dyDescent="0.35">
      <c r="A66" t="s">
        <v>1918</v>
      </c>
      <c r="B66" t="e">
        <f t="shared" si="7"/>
        <v>#VALUE!</v>
      </c>
      <c r="C66">
        <f t="shared" si="6"/>
        <v>124</v>
      </c>
      <c r="D66" t="e">
        <f t="shared" si="6"/>
        <v>#VALUE!</v>
      </c>
      <c r="E66">
        <f t="shared" si="6"/>
        <v>126</v>
      </c>
      <c r="F66" t="e">
        <f t="shared" si="6"/>
        <v>#VALUE!</v>
      </c>
      <c r="G66" t="e">
        <f t="shared" si="6"/>
        <v>#VALUE!</v>
      </c>
      <c r="H66">
        <f t="shared" si="6"/>
        <v>125</v>
      </c>
      <c r="I66" t="e">
        <f t="shared" si="6"/>
        <v>#VALUE!</v>
      </c>
      <c r="J66" t="e">
        <f t="shared" si="6"/>
        <v>#VALUE!</v>
      </c>
      <c r="K66" t="e">
        <f t="shared" si="6"/>
        <v>#VALUE!</v>
      </c>
      <c r="L66">
        <f t="shared" si="3"/>
        <v>375</v>
      </c>
      <c r="M66" t="str">
        <f t="shared" si="4"/>
        <v/>
      </c>
      <c r="O66" t="s">
        <v>1918</v>
      </c>
    </row>
    <row r="67" spans="1:15" x14ac:dyDescent="0.35">
      <c r="A67" t="s">
        <v>1919</v>
      </c>
      <c r="B67" t="e">
        <f t="shared" si="7"/>
        <v>#VALUE!</v>
      </c>
      <c r="C67" t="e">
        <f t="shared" si="6"/>
        <v>#VALUE!</v>
      </c>
      <c r="D67" t="e">
        <f t="shared" si="6"/>
        <v>#VALUE!</v>
      </c>
      <c r="E67" t="e">
        <f t="shared" si="6"/>
        <v>#VALUE!</v>
      </c>
      <c r="F67" t="e">
        <f t="shared" si="6"/>
        <v>#VALUE!</v>
      </c>
      <c r="G67" t="e">
        <f t="shared" si="6"/>
        <v>#VALUE!</v>
      </c>
      <c r="H67" t="e">
        <f t="shared" si="6"/>
        <v>#VALUE!</v>
      </c>
      <c r="I67" t="e">
        <f t="shared" si="6"/>
        <v>#VALUE!</v>
      </c>
      <c r="J67" t="e">
        <f t="shared" si="6"/>
        <v>#VALUE!</v>
      </c>
      <c r="K67" t="e">
        <f t="shared" si="6"/>
        <v>#VALUE!</v>
      </c>
      <c r="L67">
        <f t="shared" ref="L67:L130" si="8">SUMIF(B67:K67,"&lt;&gt;#VALUE!")</f>
        <v>0</v>
      </c>
      <c r="M67" t="str">
        <f t="shared" si="4"/>
        <v/>
      </c>
      <c r="O67" t="s">
        <v>1919</v>
      </c>
    </row>
    <row r="68" spans="1:15" x14ac:dyDescent="0.35">
      <c r="A68" t="s">
        <v>1920</v>
      </c>
      <c r="B68" t="e">
        <f t="shared" si="7"/>
        <v>#VALUE!</v>
      </c>
      <c r="C68">
        <f t="shared" si="6"/>
        <v>130</v>
      </c>
      <c r="D68" t="e">
        <f t="shared" si="6"/>
        <v>#VALUE!</v>
      </c>
      <c r="E68" t="e">
        <f t="shared" si="6"/>
        <v>#VALUE!</v>
      </c>
      <c r="F68" t="e">
        <f t="shared" si="6"/>
        <v>#VALUE!</v>
      </c>
      <c r="G68" t="e">
        <f t="shared" si="6"/>
        <v>#VALUE!</v>
      </c>
      <c r="H68" t="e">
        <f t="shared" si="6"/>
        <v>#VALUE!</v>
      </c>
      <c r="I68">
        <f t="shared" si="6"/>
        <v>131</v>
      </c>
      <c r="J68" t="e">
        <f t="shared" si="6"/>
        <v>#VALUE!</v>
      </c>
      <c r="K68" t="e">
        <f t="shared" si="6"/>
        <v>#VALUE!</v>
      </c>
      <c r="L68">
        <f t="shared" si="8"/>
        <v>261</v>
      </c>
      <c r="M68" t="str">
        <f t="shared" si="4"/>
        <v/>
      </c>
      <c r="O68" t="s">
        <v>1920</v>
      </c>
    </row>
    <row r="69" spans="1:15" x14ac:dyDescent="0.35">
      <c r="A69" t="s">
        <v>1921</v>
      </c>
      <c r="B69" t="e">
        <f t="shared" si="7"/>
        <v>#VALUE!</v>
      </c>
      <c r="C69" t="e">
        <f t="shared" si="6"/>
        <v>#VALUE!</v>
      </c>
      <c r="D69" t="e">
        <f t="shared" si="6"/>
        <v>#VALUE!</v>
      </c>
      <c r="E69" t="e">
        <f t="shared" si="6"/>
        <v>#VALUE!</v>
      </c>
      <c r="F69" t="e">
        <f t="shared" si="6"/>
        <v>#VALUE!</v>
      </c>
      <c r="G69" t="e">
        <f t="shared" si="6"/>
        <v>#VALUE!</v>
      </c>
      <c r="H69" t="e">
        <f t="shared" si="6"/>
        <v>#VALUE!</v>
      </c>
      <c r="I69" t="e">
        <f t="shared" si="6"/>
        <v>#VALUE!</v>
      </c>
      <c r="J69" t="e">
        <f t="shared" si="6"/>
        <v>#VALUE!</v>
      </c>
      <c r="K69" t="e">
        <f t="shared" si="6"/>
        <v>#VALUE!</v>
      </c>
      <c r="L69">
        <f t="shared" si="8"/>
        <v>0</v>
      </c>
      <c r="M69" t="str">
        <f t="shared" si="4"/>
        <v/>
      </c>
      <c r="O69" t="s">
        <v>1921</v>
      </c>
    </row>
    <row r="70" spans="1:15" x14ac:dyDescent="0.35">
      <c r="A70" t="s">
        <v>1922</v>
      </c>
      <c r="B70" t="e">
        <f t="shared" si="7"/>
        <v>#VALUE!</v>
      </c>
      <c r="C70">
        <f t="shared" si="6"/>
        <v>161</v>
      </c>
      <c r="D70" t="e">
        <f t="shared" si="6"/>
        <v>#VALUE!</v>
      </c>
      <c r="E70" t="e">
        <f t="shared" si="6"/>
        <v>#VALUE!</v>
      </c>
      <c r="F70" t="e">
        <f t="shared" si="6"/>
        <v>#VALUE!</v>
      </c>
      <c r="G70" t="e">
        <f t="shared" si="6"/>
        <v>#VALUE!</v>
      </c>
      <c r="H70" t="e">
        <f t="shared" si="6"/>
        <v>#VALUE!</v>
      </c>
      <c r="I70">
        <f t="shared" si="6"/>
        <v>162</v>
      </c>
      <c r="J70" t="e">
        <f t="shared" si="6"/>
        <v>#VALUE!</v>
      </c>
      <c r="K70">
        <f t="shared" si="6"/>
        <v>163</v>
      </c>
      <c r="L70">
        <f t="shared" si="8"/>
        <v>486</v>
      </c>
      <c r="M70" t="str">
        <f t="shared" si="4"/>
        <v/>
      </c>
      <c r="O70" t="s">
        <v>1922</v>
      </c>
    </row>
    <row r="71" spans="1:15" x14ac:dyDescent="0.35">
      <c r="A71" t="s">
        <v>1923</v>
      </c>
      <c r="B71" t="e">
        <f t="shared" si="7"/>
        <v>#VALUE!</v>
      </c>
      <c r="C71" t="e">
        <f t="shared" si="6"/>
        <v>#VALUE!</v>
      </c>
      <c r="D71" t="e">
        <f t="shared" si="6"/>
        <v>#VALUE!</v>
      </c>
      <c r="E71" t="e">
        <f t="shared" si="6"/>
        <v>#VALUE!</v>
      </c>
      <c r="F71" t="e">
        <f t="shared" si="6"/>
        <v>#VALUE!</v>
      </c>
      <c r="G71" t="e">
        <f t="shared" si="6"/>
        <v>#VALUE!</v>
      </c>
      <c r="H71" t="e">
        <f t="shared" si="6"/>
        <v>#VALUE!</v>
      </c>
      <c r="I71" t="e">
        <f t="shared" si="6"/>
        <v>#VALUE!</v>
      </c>
      <c r="J71" t="e">
        <f t="shared" si="6"/>
        <v>#VALUE!</v>
      </c>
      <c r="K71" t="e">
        <f t="shared" si="6"/>
        <v>#VALUE!</v>
      </c>
      <c r="L71">
        <f t="shared" si="8"/>
        <v>0</v>
      </c>
      <c r="M71" t="str">
        <f t="shared" si="4"/>
        <v/>
      </c>
      <c r="O71" t="s">
        <v>1923</v>
      </c>
    </row>
    <row r="72" spans="1:15" x14ac:dyDescent="0.35">
      <c r="A72" t="s">
        <v>1924</v>
      </c>
      <c r="B72" t="e">
        <f t="shared" si="7"/>
        <v>#VALUE!</v>
      </c>
      <c r="C72">
        <f t="shared" si="6"/>
        <v>118</v>
      </c>
      <c r="D72" t="e">
        <f t="shared" si="6"/>
        <v>#VALUE!</v>
      </c>
      <c r="E72" t="e">
        <f t="shared" si="6"/>
        <v>#VALUE!</v>
      </c>
      <c r="F72" t="e">
        <f t="shared" si="6"/>
        <v>#VALUE!</v>
      </c>
      <c r="G72" t="e">
        <f t="shared" si="6"/>
        <v>#VALUE!</v>
      </c>
      <c r="H72" t="e">
        <f t="shared" si="6"/>
        <v>#VALUE!</v>
      </c>
      <c r="I72">
        <f t="shared" si="6"/>
        <v>120</v>
      </c>
      <c r="J72">
        <f t="shared" si="6"/>
        <v>119</v>
      </c>
      <c r="K72" t="e">
        <f t="shared" si="6"/>
        <v>#VALUE!</v>
      </c>
      <c r="L72">
        <f t="shared" si="8"/>
        <v>357</v>
      </c>
      <c r="M72" t="str">
        <f t="shared" si="4"/>
        <v/>
      </c>
      <c r="O72" t="s">
        <v>1924</v>
      </c>
    </row>
    <row r="73" spans="1:15" x14ac:dyDescent="0.35">
      <c r="A73" t="s">
        <v>1925</v>
      </c>
      <c r="B73" t="e">
        <f t="shared" si="7"/>
        <v>#VALUE!</v>
      </c>
      <c r="C73" t="e">
        <f t="shared" si="6"/>
        <v>#VALUE!</v>
      </c>
      <c r="D73" t="e">
        <f t="shared" si="6"/>
        <v>#VALUE!</v>
      </c>
      <c r="E73" t="e">
        <f t="shared" si="6"/>
        <v>#VALUE!</v>
      </c>
      <c r="F73" t="e">
        <f t="shared" si="6"/>
        <v>#VALUE!</v>
      </c>
      <c r="G73" t="e">
        <f t="shared" si="6"/>
        <v>#VALUE!</v>
      </c>
      <c r="H73" t="e">
        <f t="shared" si="6"/>
        <v>#VALUE!</v>
      </c>
      <c r="I73" t="e">
        <f t="shared" si="6"/>
        <v>#VALUE!</v>
      </c>
      <c r="J73" t="e">
        <f t="shared" si="6"/>
        <v>#VALUE!</v>
      </c>
      <c r="K73" t="e">
        <f t="shared" si="6"/>
        <v>#VALUE!</v>
      </c>
      <c r="L73">
        <f t="shared" si="8"/>
        <v>0</v>
      </c>
      <c r="M73" t="str">
        <f t="shared" si="4"/>
        <v/>
      </c>
      <c r="O73" t="s">
        <v>1925</v>
      </c>
    </row>
    <row r="74" spans="1:15" x14ac:dyDescent="0.35">
      <c r="A74" t="s">
        <v>1926</v>
      </c>
      <c r="B74" t="e">
        <f t="shared" si="7"/>
        <v>#VALUE!</v>
      </c>
      <c r="C74" t="e">
        <f t="shared" si="6"/>
        <v>#VALUE!</v>
      </c>
      <c r="D74" t="e">
        <f t="shared" si="6"/>
        <v>#VALUE!</v>
      </c>
      <c r="E74" t="e">
        <f t="shared" si="6"/>
        <v>#VALUE!</v>
      </c>
      <c r="F74" t="e">
        <f t="shared" si="6"/>
        <v>#VALUE!</v>
      </c>
      <c r="G74" t="e">
        <f t="shared" si="6"/>
        <v>#VALUE!</v>
      </c>
      <c r="H74" t="e">
        <f t="shared" si="6"/>
        <v>#VALUE!</v>
      </c>
      <c r="I74" t="e">
        <f t="shared" si="6"/>
        <v>#VALUE!</v>
      </c>
      <c r="J74" t="e">
        <f t="shared" si="6"/>
        <v>#VALUE!</v>
      </c>
      <c r="K74" t="e">
        <f t="shared" si="6"/>
        <v>#VALUE!</v>
      </c>
      <c r="L74">
        <f t="shared" si="8"/>
        <v>0</v>
      </c>
      <c r="M74" t="str">
        <f t="shared" ref="M74:M137" si="9">IF(AND(L73=0,L74=0),_xlfn.CONCAT(A74," ",A75),"")</f>
        <v>Investigating the Origins of Cancer in the Intestinal Crypt with a Gene Network Agent Based Hybrid Model. . . . . . . . . . . . . . . . . . . . . . . . . . . . . . . . . . . . . . . . . . . . . . . . . . . . . . . . . . . . . . . . . . . . . . . . . . . . . . . . . . . . . . . . . . . . . . . . . 195</v>
      </c>
      <c r="O74" t="s">
        <v>2097</v>
      </c>
    </row>
    <row r="75" spans="1:15" x14ac:dyDescent="0.35">
      <c r="A75" t="s">
        <v>1927</v>
      </c>
      <c r="B75" t="e">
        <f t="shared" si="7"/>
        <v>#VALUE!</v>
      </c>
      <c r="C75">
        <f t="shared" si="6"/>
        <v>200</v>
      </c>
      <c r="D75" t="e">
        <f t="shared" si="6"/>
        <v>#VALUE!</v>
      </c>
      <c r="E75" t="e">
        <f t="shared" si="6"/>
        <v>#VALUE!</v>
      </c>
      <c r="F75" t="e">
        <f t="shared" si="6"/>
        <v>#VALUE!</v>
      </c>
      <c r="G75">
        <f t="shared" si="6"/>
        <v>202</v>
      </c>
      <c r="H75" t="e">
        <f t="shared" si="6"/>
        <v>#VALUE!</v>
      </c>
      <c r="I75" t="e">
        <f t="shared" si="6"/>
        <v>#VALUE!</v>
      </c>
      <c r="J75" t="e">
        <f t="shared" si="6"/>
        <v>#VALUE!</v>
      </c>
      <c r="K75">
        <f t="shared" si="6"/>
        <v>201</v>
      </c>
      <c r="L75">
        <f t="shared" si="8"/>
        <v>603</v>
      </c>
      <c r="M75" t="str">
        <f t="shared" si="9"/>
        <v/>
      </c>
    </row>
    <row r="76" spans="1:15" x14ac:dyDescent="0.35">
      <c r="A76" t="s">
        <v>1928</v>
      </c>
      <c r="B76" t="e">
        <f t="shared" si="7"/>
        <v>#VALUE!</v>
      </c>
      <c r="C76" t="e">
        <f t="shared" si="6"/>
        <v>#VALUE!</v>
      </c>
      <c r="D76" t="e">
        <f t="shared" si="6"/>
        <v>#VALUE!</v>
      </c>
      <c r="E76" t="e">
        <f t="shared" si="6"/>
        <v>#VALUE!</v>
      </c>
      <c r="F76" t="e">
        <f t="shared" si="6"/>
        <v>#VALUE!</v>
      </c>
      <c r="G76" t="e">
        <f t="shared" si="6"/>
        <v>#VALUE!</v>
      </c>
      <c r="H76" t="e">
        <f t="shared" si="6"/>
        <v>#VALUE!</v>
      </c>
      <c r="I76" t="e">
        <f t="shared" si="6"/>
        <v>#VALUE!</v>
      </c>
      <c r="J76" t="e">
        <f t="shared" si="6"/>
        <v>#VALUE!</v>
      </c>
      <c r="K76" t="e">
        <f t="shared" si="6"/>
        <v>#VALUE!</v>
      </c>
      <c r="L76">
        <f t="shared" si="8"/>
        <v>0</v>
      </c>
      <c r="M76" t="str">
        <f t="shared" si="9"/>
        <v/>
      </c>
      <c r="O76" t="s">
        <v>1928</v>
      </c>
    </row>
    <row r="77" spans="1:15" x14ac:dyDescent="0.35">
      <c r="A77" t="s">
        <v>1929</v>
      </c>
      <c r="B77">
        <f t="shared" si="7"/>
        <v>102</v>
      </c>
      <c r="C77" t="e">
        <f t="shared" si="6"/>
        <v>#VALUE!</v>
      </c>
      <c r="D77">
        <f t="shared" si="6"/>
        <v>101</v>
      </c>
      <c r="E77">
        <f t="shared" si="6"/>
        <v>103</v>
      </c>
      <c r="F77" t="e">
        <f t="shared" si="6"/>
        <v>#VALUE!</v>
      </c>
      <c r="G77" t="e">
        <f t="shared" si="6"/>
        <v>#VALUE!</v>
      </c>
      <c r="H77" t="e">
        <f t="shared" si="6"/>
        <v>#VALUE!</v>
      </c>
      <c r="I77" t="e">
        <f t="shared" si="6"/>
        <v>#VALUE!</v>
      </c>
      <c r="J77" t="e">
        <f t="shared" si="6"/>
        <v>#VALUE!</v>
      </c>
      <c r="K77" t="e">
        <f t="shared" si="6"/>
        <v>#VALUE!</v>
      </c>
      <c r="L77">
        <f t="shared" si="8"/>
        <v>306</v>
      </c>
      <c r="M77" t="str">
        <f t="shared" si="9"/>
        <v/>
      </c>
      <c r="O77" t="s">
        <v>1929</v>
      </c>
    </row>
    <row r="78" spans="1:15" x14ac:dyDescent="0.35">
      <c r="A78" t="s">
        <v>1930</v>
      </c>
      <c r="B78" t="e">
        <f t="shared" si="7"/>
        <v>#VALUE!</v>
      </c>
      <c r="C78" t="e">
        <f t="shared" si="6"/>
        <v>#VALUE!</v>
      </c>
      <c r="D78" t="e">
        <f t="shared" si="6"/>
        <v>#VALUE!</v>
      </c>
      <c r="E78" t="e">
        <f t="shared" si="6"/>
        <v>#VALUE!</v>
      </c>
      <c r="F78" t="e">
        <f t="shared" si="6"/>
        <v>#VALUE!</v>
      </c>
      <c r="G78" t="e">
        <f t="shared" si="6"/>
        <v>#VALUE!</v>
      </c>
      <c r="H78" t="e">
        <f t="shared" si="6"/>
        <v>#VALUE!</v>
      </c>
      <c r="I78" t="e">
        <f t="shared" si="6"/>
        <v>#VALUE!</v>
      </c>
      <c r="J78" t="e">
        <f t="shared" si="6"/>
        <v>#VALUE!</v>
      </c>
      <c r="K78" t="e">
        <f t="shared" si="6"/>
        <v>#VALUE!</v>
      </c>
      <c r="L78">
        <f t="shared" si="8"/>
        <v>0</v>
      </c>
      <c r="M78" t="str">
        <f t="shared" si="9"/>
        <v/>
      </c>
      <c r="O78" t="s">
        <v>1930</v>
      </c>
    </row>
    <row r="79" spans="1:15" x14ac:dyDescent="0.35">
      <c r="A79" t="s">
        <v>1931</v>
      </c>
      <c r="B79" t="e">
        <f t="shared" si="7"/>
        <v>#VALUE!</v>
      </c>
      <c r="C79">
        <f t="shared" si="6"/>
        <v>106</v>
      </c>
      <c r="D79">
        <f t="shared" si="6"/>
        <v>105</v>
      </c>
      <c r="E79" t="e">
        <f t="shared" si="6"/>
        <v>#VALUE!</v>
      </c>
      <c r="F79" t="e">
        <f t="shared" si="6"/>
        <v>#VALUE!</v>
      </c>
      <c r="G79" t="e">
        <f t="shared" si="6"/>
        <v>#VALUE!</v>
      </c>
      <c r="H79" t="e">
        <f t="shared" si="6"/>
        <v>#VALUE!</v>
      </c>
      <c r="I79" t="e">
        <f t="shared" si="6"/>
        <v>#VALUE!</v>
      </c>
      <c r="J79" t="e">
        <f t="shared" si="6"/>
        <v>#VALUE!</v>
      </c>
      <c r="K79" t="e">
        <f t="shared" si="6"/>
        <v>#VALUE!</v>
      </c>
      <c r="L79">
        <f t="shared" si="8"/>
        <v>211</v>
      </c>
      <c r="M79" t="str">
        <f t="shared" si="9"/>
        <v/>
      </c>
      <c r="O79" t="s">
        <v>1931</v>
      </c>
    </row>
    <row r="80" spans="1:15" x14ac:dyDescent="0.35">
      <c r="A80" t="s">
        <v>1932</v>
      </c>
      <c r="B80" t="e">
        <f t="shared" si="7"/>
        <v>#VALUE!</v>
      </c>
      <c r="C80" t="e">
        <f t="shared" si="6"/>
        <v>#VALUE!</v>
      </c>
      <c r="D80" t="e">
        <f t="shared" si="6"/>
        <v>#VALUE!</v>
      </c>
      <c r="E80" t="e">
        <f t="shared" si="6"/>
        <v>#VALUE!</v>
      </c>
      <c r="F80" t="e">
        <f t="shared" si="6"/>
        <v>#VALUE!</v>
      </c>
      <c r="G80" t="e">
        <f t="shared" si="6"/>
        <v>#VALUE!</v>
      </c>
      <c r="H80" t="e">
        <f t="shared" si="6"/>
        <v>#VALUE!</v>
      </c>
      <c r="I80" t="e">
        <f t="shared" si="6"/>
        <v>#VALUE!</v>
      </c>
      <c r="J80" t="e">
        <f t="shared" si="6"/>
        <v>#VALUE!</v>
      </c>
      <c r="K80" t="e">
        <f t="shared" si="6"/>
        <v>#VALUE!</v>
      </c>
      <c r="L80">
        <f t="shared" si="8"/>
        <v>0</v>
      </c>
      <c r="M80" t="str">
        <f t="shared" si="9"/>
        <v/>
      </c>
      <c r="O80" t="s">
        <v>1932</v>
      </c>
    </row>
    <row r="81" spans="1:15" x14ac:dyDescent="0.35">
      <c r="A81" t="s">
        <v>1933</v>
      </c>
      <c r="B81" t="e">
        <f t="shared" si="7"/>
        <v>#VALUE!</v>
      </c>
      <c r="C81">
        <f t="shared" si="6"/>
        <v>132</v>
      </c>
      <c r="D81">
        <f t="shared" si="6"/>
        <v>131</v>
      </c>
      <c r="E81" t="e">
        <f t="shared" si="6"/>
        <v>#VALUE!</v>
      </c>
      <c r="F81" t="e">
        <f t="shared" si="6"/>
        <v>#VALUE!</v>
      </c>
      <c r="G81" t="e">
        <f t="shared" si="6"/>
        <v>#VALUE!</v>
      </c>
      <c r="H81" t="e">
        <f t="shared" si="6"/>
        <v>#VALUE!</v>
      </c>
      <c r="I81" t="e">
        <f t="shared" si="6"/>
        <v>#VALUE!</v>
      </c>
      <c r="J81">
        <f t="shared" si="6"/>
        <v>133</v>
      </c>
      <c r="K81" t="e">
        <f t="shared" si="6"/>
        <v>#VALUE!</v>
      </c>
      <c r="L81">
        <f t="shared" si="8"/>
        <v>396</v>
      </c>
      <c r="M81" t="str">
        <f t="shared" si="9"/>
        <v/>
      </c>
      <c r="O81" t="s">
        <v>1933</v>
      </c>
    </row>
    <row r="82" spans="1:15" x14ac:dyDescent="0.35">
      <c r="A82" t="s">
        <v>1387</v>
      </c>
      <c r="B82" t="e">
        <f t="shared" si="7"/>
        <v>#VALUE!</v>
      </c>
      <c r="C82" t="e">
        <f t="shared" si="6"/>
        <v>#VALUE!</v>
      </c>
      <c r="D82" t="e">
        <f t="shared" si="6"/>
        <v>#VALUE!</v>
      </c>
      <c r="E82" t="e">
        <f t="shared" si="6"/>
        <v>#VALUE!</v>
      </c>
      <c r="F82" t="e">
        <f t="shared" si="6"/>
        <v>#VALUE!</v>
      </c>
      <c r="G82" t="e">
        <f t="shared" si="6"/>
        <v>#VALUE!</v>
      </c>
      <c r="H82" t="e">
        <f t="shared" si="6"/>
        <v>#VALUE!</v>
      </c>
      <c r="I82" t="e">
        <f t="shared" si="6"/>
        <v>#VALUE!</v>
      </c>
      <c r="J82" t="e">
        <f t="shared" si="6"/>
        <v>#VALUE!</v>
      </c>
      <c r="K82" t="e">
        <f t="shared" si="6"/>
        <v>#VALUE!</v>
      </c>
      <c r="L82">
        <f t="shared" si="8"/>
        <v>0</v>
      </c>
      <c r="M82" t="str">
        <f t="shared" si="9"/>
        <v/>
      </c>
      <c r="O82" t="s">
        <v>1387</v>
      </c>
    </row>
    <row r="83" spans="1:15" x14ac:dyDescent="0.35">
      <c r="A83" t="s">
        <v>1934</v>
      </c>
      <c r="B83" t="e">
        <f t="shared" si="7"/>
        <v>#VALUE!</v>
      </c>
      <c r="C83" t="e">
        <f t="shared" si="6"/>
        <v>#VALUE!</v>
      </c>
      <c r="D83" t="e">
        <f t="shared" si="6"/>
        <v>#VALUE!</v>
      </c>
      <c r="E83" t="e">
        <f t="shared" si="6"/>
        <v>#VALUE!</v>
      </c>
      <c r="F83" t="e">
        <f t="shared" si="6"/>
        <v>#VALUE!</v>
      </c>
      <c r="G83" t="e">
        <f t="shared" si="6"/>
        <v>#VALUE!</v>
      </c>
      <c r="H83" t="e">
        <f t="shared" si="6"/>
        <v>#VALUE!</v>
      </c>
      <c r="I83" t="e">
        <f t="shared" si="6"/>
        <v>#VALUE!</v>
      </c>
      <c r="J83" t="e">
        <f t="shared" si="6"/>
        <v>#VALUE!</v>
      </c>
      <c r="K83" t="e">
        <f t="shared" si="6"/>
        <v>#VALUE!</v>
      </c>
      <c r="L83">
        <f t="shared" si="8"/>
        <v>0</v>
      </c>
      <c r="M83" t="str">
        <f t="shared" si="9"/>
        <v>Analyzing Evolution of Avian Influenza using detailed Genotypic and Antigenic Models and Phylodynamic Simulation . . . . . . . . . . . . . . . . . . . . . . . . . . . . . . . . . . . . . . . . . . . . . . . . . . . . . . . . . . . . . . . . . . . . . . . . . . . . . 220</v>
      </c>
      <c r="O83" t="s">
        <v>2098</v>
      </c>
    </row>
    <row r="84" spans="1:15" x14ac:dyDescent="0.35">
      <c r="A84" t="s">
        <v>1935</v>
      </c>
      <c r="B84">
        <f t="shared" si="7"/>
        <v>181</v>
      </c>
      <c r="C84" t="e">
        <f t="shared" si="6"/>
        <v>#VALUE!</v>
      </c>
      <c r="D84">
        <f t="shared" si="6"/>
        <v>179</v>
      </c>
      <c r="E84" t="e">
        <f t="shared" si="6"/>
        <v>#VALUE!</v>
      </c>
      <c r="F84" t="e">
        <f t="shared" si="6"/>
        <v>#VALUE!</v>
      </c>
      <c r="G84" t="e">
        <f t="shared" si="6"/>
        <v>#VALUE!</v>
      </c>
      <c r="H84" t="e">
        <f t="shared" si="6"/>
        <v>#VALUE!</v>
      </c>
      <c r="I84" t="e">
        <f t="shared" si="6"/>
        <v>#VALUE!</v>
      </c>
      <c r="J84" t="e">
        <f t="shared" si="6"/>
        <v>#VALUE!</v>
      </c>
      <c r="K84" t="e">
        <f t="shared" si="6"/>
        <v>#VALUE!</v>
      </c>
      <c r="L84">
        <f t="shared" si="8"/>
        <v>360</v>
      </c>
      <c r="M84" t="str">
        <f t="shared" si="9"/>
        <v/>
      </c>
    </row>
    <row r="85" spans="1:15" x14ac:dyDescent="0.35">
      <c r="A85" t="s">
        <v>1936</v>
      </c>
      <c r="B85" t="e">
        <f t="shared" si="7"/>
        <v>#VALUE!</v>
      </c>
      <c r="C85" t="e">
        <f t="shared" si="6"/>
        <v>#VALUE!</v>
      </c>
      <c r="D85" t="e">
        <f t="shared" si="6"/>
        <v>#VALUE!</v>
      </c>
      <c r="E85" t="e">
        <f t="shared" si="6"/>
        <v>#VALUE!</v>
      </c>
      <c r="F85" t="e">
        <f t="shared" si="6"/>
        <v>#VALUE!</v>
      </c>
      <c r="G85" t="e">
        <f t="shared" si="6"/>
        <v>#VALUE!</v>
      </c>
      <c r="H85" t="e">
        <f t="shared" si="6"/>
        <v>#VALUE!</v>
      </c>
      <c r="I85" t="e">
        <f t="shared" si="6"/>
        <v>#VALUE!</v>
      </c>
      <c r="J85" t="e">
        <f t="shared" si="6"/>
        <v>#VALUE!</v>
      </c>
      <c r="K85" t="e">
        <f t="shared" si="6"/>
        <v>#VALUE!</v>
      </c>
      <c r="L85">
        <f t="shared" si="8"/>
        <v>0</v>
      </c>
      <c r="M85" t="str">
        <f t="shared" si="9"/>
        <v/>
      </c>
      <c r="O85" t="s">
        <v>1936</v>
      </c>
    </row>
    <row r="86" spans="1:15" x14ac:dyDescent="0.35">
      <c r="A86" t="s">
        <v>1937</v>
      </c>
      <c r="B86" t="e">
        <f t="shared" si="7"/>
        <v>#VALUE!</v>
      </c>
      <c r="C86" t="e">
        <f t="shared" si="6"/>
        <v>#VALUE!</v>
      </c>
      <c r="D86">
        <f t="shared" si="6"/>
        <v>131</v>
      </c>
      <c r="E86" t="e">
        <f t="shared" si="6"/>
        <v>#VALUE!</v>
      </c>
      <c r="F86" t="e">
        <f t="shared" si="6"/>
        <v>#VALUE!</v>
      </c>
      <c r="G86" t="e">
        <f t="shared" si="6"/>
        <v>#VALUE!</v>
      </c>
      <c r="H86" t="e">
        <f t="shared" si="6"/>
        <v>#VALUE!</v>
      </c>
      <c r="I86" t="e">
        <f t="shared" si="6"/>
        <v>#VALUE!</v>
      </c>
      <c r="J86">
        <f t="shared" si="6"/>
        <v>133</v>
      </c>
      <c r="K86" t="e">
        <f t="shared" si="6"/>
        <v>#VALUE!</v>
      </c>
      <c r="L86">
        <f t="shared" si="8"/>
        <v>264</v>
      </c>
      <c r="M86" t="str">
        <f t="shared" si="9"/>
        <v/>
      </c>
      <c r="O86" t="s">
        <v>1937</v>
      </c>
    </row>
    <row r="87" spans="1:15" x14ac:dyDescent="0.35">
      <c r="A87" t="s">
        <v>1938</v>
      </c>
      <c r="B87" t="e">
        <f t="shared" si="7"/>
        <v>#VALUE!</v>
      </c>
      <c r="C87" t="e">
        <f t="shared" si="6"/>
        <v>#VALUE!</v>
      </c>
      <c r="D87" t="e">
        <f t="shared" si="6"/>
        <v>#VALUE!</v>
      </c>
      <c r="E87" t="e">
        <f t="shared" si="6"/>
        <v>#VALUE!</v>
      </c>
      <c r="F87" t="e">
        <f t="shared" si="6"/>
        <v>#VALUE!</v>
      </c>
      <c r="G87" t="e">
        <f t="shared" si="6"/>
        <v>#VALUE!</v>
      </c>
      <c r="H87" t="e">
        <f t="shared" si="6"/>
        <v>#VALUE!</v>
      </c>
      <c r="I87" t="e">
        <f t="shared" si="6"/>
        <v>#VALUE!</v>
      </c>
      <c r="J87" t="e">
        <f t="shared" si="6"/>
        <v>#VALUE!</v>
      </c>
      <c r="K87" t="e">
        <f t="shared" si="6"/>
        <v>#VALUE!</v>
      </c>
      <c r="L87">
        <f t="shared" si="8"/>
        <v>0</v>
      </c>
      <c r="M87" t="str">
        <f t="shared" si="9"/>
        <v/>
      </c>
      <c r="O87" t="s">
        <v>1938</v>
      </c>
    </row>
    <row r="88" spans="1:15" x14ac:dyDescent="0.35">
      <c r="A88" t="s">
        <v>1939</v>
      </c>
      <c r="B88" t="e">
        <f t="shared" si="7"/>
        <v>#VALUE!</v>
      </c>
      <c r="C88" t="e">
        <f t="shared" si="6"/>
        <v>#VALUE!</v>
      </c>
      <c r="D88">
        <f t="shared" si="6"/>
        <v>104</v>
      </c>
      <c r="E88">
        <f t="shared" si="6"/>
        <v>105</v>
      </c>
      <c r="F88" t="e">
        <f t="shared" si="6"/>
        <v>#VALUE!</v>
      </c>
      <c r="G88" t="e">
        <f t="shared" si="6"/>
        <v>#VALUE!</v>
      </c>
      <c r="H88">
        <f t="shared" si="6"/>
        <v>106</v>
      </c>
      <c r="I88" t="e">
        <f t="shared" si="6"/>
        <v>#VALUE!</v>
      </c>
      <c r="J88" t="e">
        <f t="shared" ref="C88:K117" si="10">SEARCH(J$1,$A88)</f>
        <v>#VALUE!</v>
      </c>
      <c r="K88" t="e">
        <f t="shared" si="10"/>
        <v>#VALUE!</v>
      </c>
      <c r="L88">
        <f t="shared" si="8"/>
        <v>315</v>
      </c>
      <c r="M88" t="str">
        <f t="shared" si="9"/>
        <v/>
      </c>
      <c r="O88" t="s">
        <v>1939</v>
      </c>
    </row>
    <row r="89" spans="1:15" x14ac:dyDescent="0.35">
      <c r="A89" t="s">
        <v>1940</v>
      </c>
      <c r="B89" t="e">
        <f t="shared" si="7"/>
        <v>#VALUE!</v>
      </c>
      <c r="C89" t="e">
        <f t="shared" si="10"/>
        <v>#VALUE!</v>
      </c>
      <c r="D89" t="e">
        <f t="shared" si="10"/>
        <v>#VALUE!</v>
      </c>
      <c r="E89" t="e">
        <f t="shared" si="10"/>
        <v>#VALUE!</v>
      </c>
      <c r="F89" t="e">
        <f t="shared" si="10"/>
        <v>#VALUE!</v>
      </c>
      <c r="G89" t="e">
        <f t="shared" si="10"/>
        <v>#VALUE!</v>
      </c>
      <c r="H89" t="e">
        <f t="shared" si="10"/>
        <v>#VALUE!</v>
      </c>
      <c r="I89" t="e">
        <f t="shared" si="10"/>
        <v>#VALUE!</v>
      </c>
      <c r="J89" t="e">
        <f t="shared" si="10"/>
        <v>#VALUE!</v>
      </c>
      <c r="K89" t="e">
        <f t="shared" si="10"/>
        <v>#VALUE!</v>
      </c>
      <c r="L89">
        <f t="shared" si="8"/>
        <v>0</v>
      </c>
      <c r="M89" t="str">
        <f t="shared" si="9"/>
        <v/>
      </c>
      <c r="O89" t="s">
        <v>1940</v>
      </c>
    </row>
    <row r="90" spans="1:15" x14ac:dyDescent="0.35">
      <c r="A90" t="s">
        <v>1941</v>
      </c>
      <c r="B90" t="e">
        <f t="shared" si="7"/>
        <v>#VALUE!</v>
      </c>
      <c r="C90" t="e">
        <f t="shared" si="10"/>
        <v>#VALUE!</v>
      </c>
      <c r="D90" t="e">
        <f t="shared" si="10"/>
        <v>#VALUE!</v>
      </c>
      <c r="E90" t="e">
        <f t="shared" si="10"/>
        <v>#VALUE!</v>
      </c>
      <c r="F90" t="e">
        <f t="shared" si="10"/>
        <v>#VALUE!</v>
      </c>
      <c r="G90" t="e">
        <f t="shared" si="10"/>
        <v>#VALUE!</v>
      </c>
      <c r="H90" t="e">
        <f t="shared" si="10"/>
        <v>#VALUE!</v>
      </c>
      <c r="I90" t="e">
        <f t="shared" si="10"/>
        <v>#VALUE!</v>
      </c>
      <c r="J90" t="e">
        <f t="shared" si="10"/>
        <v>#VALUE!</v>
      </c>
      <c r="K90" t="e">
        <f t="shared" si="10"/>
        <v>#VALUE!</v>
      </c>
      <c r="L90">
        <f t="shared" si="8"/>
        <v>0</v>
      </c>
      <c r="M90" t="str">
        <f t="shared" si="9"/>
        <v>Horizontal Gene Transfer Leads to Increased Task Acquisition and Genomic Modularity in Digital Organisms . . . . . . . . . . . . . . . . . . . . . . . . . . . . . . . . . . . . . . . . . . . . . . . . . . . . . . . . . . . . . . . . . . . . . . . . . . . . . . . . . . . . . . . . . . . . 243</v>
      </c>
      <c r="O90" t="s">
        <v>2099</v>
      </c>
    </row>
    <row r="91" spans="1:15" x14ac:dyDescent="0.35">
      <c r="A91" t="s">
        <v>1942</v>
      </c>
      <c r="B91" t="e">
        <f t="shared" si="7"/>
        <v>#VALUE!</v>
      </c>
      <c r="C91" t="e">
        <f t="shared" si="10"/>
        <v>#VALUE!</v>
      </c>
      <c r="D91">
        <f t="shared" si="10"/>
        <v>195</v>
      </c>
      <c r="E91">
        <f t="shared" si="10"/>
        <v>197</v>
      </c>
      <c r="F91">
        <f t="shared" si="10"/>
        <v>196</v>
      </c>
      <c r="G91" t="e">
        <f t="shared" si="10"/>
        <v>#VALUE!</v>
      </c>
      <c r="H91" t="e">
        <f t="shared" si="10"/>
        <v>#VALUE!</v>
      </c>
      <c r="I91" t="e">
        <f t="shared" si="10"/>
        <v>#VALUE!</v>
      </c>
      <c r="J91" t="e">
        <f t="shared" si="10"/>
        <v>#VALUE!</v>
      </c>
      <c r="K91" t="e">
        <f t="shared" si="10"/>
        <v>#VALUE!</v>
      </c>
      <c r="L91">
        <f t="shared" si="8"/>
        <v>588</v>
      </c>
      <c r="M91" t="str">
        <f t="shared" si="9"/>
        <v/>
      </c>
    </row>
    <row r="92" spans="1:15" x14ac:dyDescent="0.35">
      <c r="A92" t="s">
        <v>1943</v>
      </c>
      <c r="B92" t="e">
        <f t="shared" si="7"/>
        <v>#VALUE!</v>
      </c>
      <c r="C92" t="e">
        <f t="shared" si="10"/>
        <v>#VALUE!</v>
      </c>
      <c r="D92" t="e">
        <f t="shared" si="10"/>
        <v>#VALUE!</v>
      </c>
      <c r="E92" t="e">
        <f t="shared" si="10"/>
        <v>#VALUE!</v>
      </c>
      <c r="F92" t="e">
        <f t="shared" si="10"/>
        <v>#VALUE!</v>
      </c>
      <c r="G92" t="e">
        <f t="shared" si="10"/>
        <v>#VALUE!</v>
      </c>
      <c r="H92" t="e">
        <f t="shared" si="10"/>
        <v>#VALUE!</v>
      </c>
      <c r="I92" t="e">
        <f t="shared" si="10"/>
        <v>#VALUE!</v>
      </c>
      <c r="J92" t="e">
        <f t="shared" si="10"/>
        <v>#VALUE!</v>
      </c>
      <c r="K92" t="e">
        <f t="shared" si="10"/>
        <v>#VALUE!</v>
      </c>
      <c r="L92">
        <f t="shared" si="8"/>
        <v>0</v>
      </c>
      <c r="M92" t="str">
        <f t="shared" si="9"/>
        <v/>
      </c>
      <c r="O92" t="s">
        <v>1943</v>
      </c>
    </row>
    <row r="93" spans="1:15" x14ac:dyDescent="0.35">
      <c r="A93" t="s">
        <v>1944</v>
      </c>
      <c r="B93" t="e">
        <f t="shared" si="7"/>
        <v>#VALUE!</v>
      </c>
      <c r="C93" t="e">
        <f t="shared" si="10"/>
        <v>#VALUE!</v>
      </c>
      <c r="D93">
        <f t="shared" si="10"/>
        <v>123</v>
      </c>
      <c r="E93" t="e">
        <f t="shared" si="10"/>
        <v>#VALUE!</v>
      </c>
      <c r="F93">
        <f t="shared" si="10"/>
        <v>124</v>
      </c>
      <c r="G93">
        <f t="shared" si="10"/>
        <v>125</v>
      </c>
      <c r="H93" t="e">
        <f t="shared" si="10"/>
        <v>#VALUE!</v>
      </c>
      <c r="I93" t="e">
        <f t="shared" si="10"/>
        <v>#VALUE!</v>
      </c>
      <c r="J93" t="e">
        <f t="shared" si="10"/>
        <v>#VALUE!</v>
      </c>
      <c r="K93" t="e">
        <f t="shared" si="10"/>
        <v>#VALUE!</v>
      </c>
      <c r="L93">
        <f t="shared" si="8"/>
        <v>372</v>
      </c>
      <c r="M93" t="str">
        <f t="shared" si="9"/>
        <v/>
      </c>
      <c r="O93" t="s">
        <v>1944</v>
      </c>
    </row>
    <row r="94" spans="1:15" x14ac:dyDescent="0.35">
      <c r="A94" t="s">
        <v>1945</v>
      </c>
      <c r="B94" t="e">
        <f t="shared" si="7"/>
        <v>#VALUE!</v>
      </c>
      <c r="C94" t="e">
        <f t="shared" si="10"/>
        <v>#VALUE!</v>
      </c>
      <c r="D94" t="e">
        <f t="shared" si="10"/>
        <v>#VALUE!</v>
      </c>
      <c r="E94" t="e">
        <f t="shared" si="10"/>
        <v>#VALUE!</v>
      </c>
      <c r="F94" t="e">
        <f t="shared" si="10"/>
        <v>#VALUE!</v>
      </c>
      <c r="G94" t="e">
        <f t="shared" si="10"/>
        <v>#VALUE!</v>
      </c>
      <c r="H94" t="e">
        <f t="shared" si="10"/>
        <v>#VALUE!</v>
      </c>
      <c r="I94" t="e">
        <f t="shared" si="10"/>
        <v>#VALUE!</v>
      </c>
      <c r="J94" t="e">
        <f t="shared" si="10"/>
        <v>#VALUE!</v>
      </c>
      <c r="K94" t="e">
        <f t="shared" si="10"/>
        <v>#VALUE!</v>
      </c>
      <c r="L94">
        <f t="shared" si="8"/>
        <v>0</v>
      </c>
      <c r="M94" t="str">
        <f t="shared" si="9"/>
        <v/>
      </c>
      <c r="O94" t="s">
        <v>1945</v>
      </c>
    </row>
    <row r="95" spans="1:15" x14ac:dyDescent="0.35">
      <c r="A95" t="s">
        <v>1946</v>
      </c>
      <c r="B95" t="e">
        <f t="shared" si="7"/>
        <v>#VALUE!</v>
      </c>
      <c r="C95" t="e">
        <f t="shared" si="10"/>
        <v>#VALUE!</v>
      </c>
      <c r="D95">
        <f t="shared" si="10"/>
        <v>143</v>
      </c>
      <c r="E95" t="e">
        <f t="shared" si="10"/>
        <v>#VALUE!</v>
      </c>
      <c r="F95">
        <f t="shared" si="10"/>
        <v>144</v>
      </c>
      <c r="G95" t="e">
        <f t="shared" si="10"/>
        <v>#VALUE!</v>
      </c>
      <c r="H95" t="e">
        <f t="shared" si="10"/>
        <v>#VALUE!</v>
      </c>
      <c r="I95">
        <f t="shared" si="10"/>
        <v>145</v>
      </c>
      <c r="J95" t="e">
        <f t="shared" si="10"/>
        <v>#VALUE!</v>
      </c>
      <c r="K95" t="e">
        <f t="shared" si="10"/>
        <v>#VALUE!</v>
      </c>
      <c r="L95">
        <f t="shared" si="8"/>
        <v>432</v>
      </c>
      <c r="M95" t="str">
        <f t="shared" si="9"/>
        <v/>
      </c>
      <c r="O95" t="s">
        <v>1946</v>
      </c>
    </row>
    <row r="96" spans="1:15" x14ac:dyDescent="0.35">
      <c r="A96" t="s">
        <v>1947</v>
      </c>
      <c r="B96" t="e">
        <f t="shared" si="7"/>
        <v>#VALUE!</v>
      </c>
      <c r="C96" t="e">
        <f t="shared" si="10"/>
        <v>#VALUE!</v>
      </c>
      <c r="D96" t="e">
        <f t="shared" si="10"/>
        <v>#VALUE!</v>
      </c>
      <c r="E96" t="e">
        <f t="shared" si="10"/>
        <v>#VALUE!</v>
      </c>
      <c r="F96" t="e">
        <f t="shared" si="10"/>
        <v>#VALUE!</v>
      </c>
      <c r="G96" t="e">
        <f t="shared" si="10"/>
        <v>#VALUE!</v>
      </c>
      <c r="H96" t="e">
        <f t="shared" si="10"/>
        <v>#VALUE!</v>
      </c>
      <c r="I96" t="e">
        <f t="shared" si="10"/>
        <v>#VALUE!</v>
      </c>
      <c r="J96" t="e">
        <f t="shared" si="10"/>
        <v>#VALUE!</v>
      </c>
      <c r="K96" t="e">
        <f t="shared" si="10"/>
        <v>#VALUE!</v>
      </c>
      <c r="L96">
        <f t="shared" si="8"/>
        <v>0</v>
      </c>
      <c r="M96" t="str">
        <f t="shared" si="9"/>
        <v/>
      </c>
      <c r="O96" t="s">
        <v>1947</v>
      </c>
    </row>
    <row r="97" spans="1:15" x14ac:dyDescent="0.35">
      <c r="A97" t="s">
        <v>1948</v>
      </c>
      <c r="B97" t="e">
        <f t="shared" si="7"/>
        <v>#VALUE!</v>
      </c>
      <c r="C97" t="e">
        <f t="shared" si="10"/>
        <v>#VALUE!</v>
      </c>
      <c r="D97">
        <f t="shared" si="10"/>
        <v>136</v>
      </c>
      <c r="E97" t="e">
        <f t="shared" si="10"/>
        <v>#VALUE!</v>
      </c>
      <c r="F97" t="e">
        <f t="shared" si="10"/>
        <v>#VALUE!</v>
      </c>
      <c r="G97">
        <f t="shared" si="10"/>
        <v>137</v>
      </c>
      <c r="H97" t="e">
        <f t="shared" si="10"/>
        <v>#VALUE!</v>
      </c>
      <c r="I97" t="e">
        <f t="shared" si="10"/>
        <v>#VALUE!</v>
      </c>
      <c r="J97" t="e">
        <f t="shared" si="10"/>
        <v>#VALUE!</v>
      </c>
      <c r="K97" t="e">
        <f t="shared" si="10"/>
        <v>#VALUE!</v>
      </c>
      <c r="L97">
        <f t="shared" si="8"/>
        <v>273</v>
      </c>
      <c r="M97" t="str">
        <f t="shared" si="9"/>
        <v/>
      </c>
      <c r="O97" t="s">
        <v>1948</v>
      </c>
    </row>
    <row r="98" spans="1:15" x14ac:dyDescent="0.35">
      <c r="A98" t="s">
        <v>1949</v>
      </c>
      <c r="B98" t="e">
        <f t="shared" si="7"/>
        <v>#VALUE!</v>
      </c>
      <c r="C98" t="e">
        <f t="shared" si="10"/>
        <v>#VALUE!</v>
      </c>
      <c r="D98" t="e">
        <f t="shared" si="10"/>
        <v>#VALUE!</v>
      </c>
      <c r="E98" t="e">
        <f t="shared" si="10"/>
        <v>#VALUE!</v>
      </c>
      <c r="F98" t="e">
        <f t="shared" si="10"/>
        <v>#VALUE!</v>
      </c>
      <c r="G98" t="e">
        <f t="shared" si="10"/>
        <v>#VALUE!</v>
      </c>
      <c r="H98" t="e">
        <f t="shared" si="10"/>
        <v>#VALUE!</v>
      </c>
      <c r="I98" t="e">
        <f t="shared" si="10"/>
        <v>#VALUE!</v>
      </c>
      <c r="J98" t="e">
        <f t="shared" si="10"/>
        <v>#VALUE!</v>
      </c>
      <c r="K98" t="e">
        <f t="shared" si="10"/>
        <v>#VALUE!</v>
      </c>
      <c r="L98">
        <f t="shared" si="8"/>
        <v>0</v>
      </c>
      <c r="M98" t="str">
        <f t="shared" si="9"/>
        <v/>
      </c>
      <c r="O98" t="s">
        <v>1949</v>
      </c>
    </row>
    <row r="99" spans="1:15" x14ac:dyDescent="0.35">
      <c r="A99" t="s">
        <v>1950</v>
      </c>
      <c r="B99" t="e">
        <f t="shared" si="7"/>
        <v>#VALUE!</v>
      </c>
      <c r="C99" t="e">
        <f t="shared" si="10"/>
        <v>#VALUE!</v>
      </c>
      <c r="D99">
        <f t="shared" si="10"/>
        <v>146</v>
      </c>
      <c r="E99">
        <f t="shared" si="10"/>
        <v>148</v>
      </c>
      <c r="F99" t="e">
        <f t="shared" si="10"/>
        <v>#VALUE!</v>
      </c>
      <c r="G99" t="e">
        <f t="shared" si="10"/>
        <v>#VALUE!</v>
      </c>
      <c r="H99">
        <f t="shared" si="10"/>
        <v>147</v>
      </c>
      <c r="I99" t="e">
        <f t="shared" si="10"/>
        <v>#VALUE!</v>
      </c>
      <c r="J99" t="e">
        <f t="shared" si="10"/>
        <v>#VALUE!</v>
      </c>
      <c r="K99" t="e">
        <f t="shared" si="10"/>
        <v>#VALUE!</v>
      </c>
      <c r="L99">
        <f t="shared" si="8"/>
        <v>441</v>
      </c>
      <c r="M99" t="str">
        <f t="shared" si="9"/>
        <v/>
      </c>
      <c r="O99" t="s">
        <v>1950</v>
      </c>
    </row>
    <row r="100" spans="1:15" x14ac:dyDescent="0.35">
      <c r="A100" t="s">
        <v>1951</v>
      </c>
      <c r="B100" t="e">
        <f t="shared" si="7"/>
        <v>#VALUE!</v>
      </c>
      <c r="C100" t="e">
        <f t="shared" si="10"/>
        <v>#VALUE!</v>
      </c>
      <c r="D100" t="e">
        <f t="shared" si="10"/>
        <v>#VALUE!</v>
      </c>
      <c r="E100" t="e">
        <f t="shared" si="10"/>
        <v>#VALUE!</v>
      </c>
      <c r="F100" t="e">
        <f t="shared" si="10"/>
        <v>#VALUE!</v>
      </c>
      <c r="G100" t="e">
        <f t="shared" si="10"/>
        <v>#VALUE!</v>
      </c>
      <c r="H100" t="e">
        <f t="shared" si="10"/>
        <v>#VALUE!</v>
      </c>
      <c r="I100" t="e">
        <f t="shared" si="10"/>
        <v>#VALUE!</v>
      </c>
      <c r="J100" t="e">
        <f t="shared" si="10"/>
        <v>#VALUE!</v>
      </c>
      <c r="K100" t="e">
        <f t="shared" si="10"/>
        <v>#VALUE!</v>
      </c>
      <c r="L100">
        <f t="shared" si="8"/>
        <v>0</v>
      </c>
      <c r="M100" t="str">
        <f t="shared" si="9"/>
        <v/>
      </c>
      <c r="O100" t="s">
        <v>1951</v>
      </c>
    </row>
    <row r="101" spans="1:15" x14ac:dyDescent="0.35">
      <c r="A101" t="s">
        <v>1952</v>
      </c>
      <c r="B101" t="e">
        <f t="shared" si="7"/>
        <v>#VALUE!</v>
      </c>
      <c r="C101">
        <f t="shared" si="10"/>
        <v>152</v>
      </c>
      <c r="D101">
        <f t="shared" si="10"/>
        <v>150</v>
      </c>
      <c r="E101" t="e">
        <f t="shared" si="10"/>
        <v>#VALUE!</v>
      </c>
      <c r="F101" t="e">
        <f t="shared" si="10"/>
        <v>#VALUE!</v>
      </c>
      <c r="G101" t="e">
        <f t="shared" si="10"/>
        <v>#VALUE!</v>
      </c>
      <c r="H101" t="e">
        <f t="shared" si="10"/>
        <v>#VALUE!</v>
      </c>
      <c r="I101">
        <f t="shared" si="10"/>
        <v>151</v>
      </c>
      <c r="J101" t="e">
        <f t="shared" si="10"/>
        <v>#VALUE!</v>
      </c>
      <c r="K101" t="e">
        <f t="shared" si="10"/>
        <v>#VALUE!</v>
      </c>
      <c r="L101">
        <f t="shared" si="8"/>
        <v>453</v>
      </c>
      <c r="M101" t="str">
        <f t="shared" si="9"/>
        <v/>
      </c>
      <c r="O101" t="s">
        <v>1952</v>
      </c>
    </row>
    <row r="102" spans="1:15" x14ac:dyDescent="0.35">
      <c r="A102" t="s">
        <v>1953</v>
      </c>
      <c r="B102" t="e">
        <f t="shared" si="7"/>
        <v>#VALUE!</v>
      </c>
      <c r="C102" t="e">
        <f t="shared" si="10"/>
        <v>#VALUE!</v>
      </c>
      <c r="D102" t="e">
        <f t="shared" si="10"/>
        <v>#VALUE!</v>
      </c>
      <c r="E102" t="e">
        <f t="shared" si="10"/>
        <v>#VALUE!</v>
      </c>
      <c r="F102" t="e">
        <f t="shared" si="10"/>
        <v>#VALUE!</v>
      </c>
      <c r="G102" t="e">
        <f t="shared" si="10"/>
        <v>#VALUE!</v>
      </c>
      <c r="H102" t="e">
        <f t="shared" si="10"/>
        <v>#VALUE!</v>
      </c>
      <c r="I102" t="e">
        <f t="shared" si="10"/>
        <v>#VALUE!</v>
      </c>
      <c r="J102" t="e">
        <f t="shared" si="10"/>
        <v>#VALUE!</v>
      </c>
      <c r="K102" t="e">
        <f t="shared" si="10"/>
        <v>#VALUE!</v>
      </c>
      <c r="L102">
        <f t="shared" si="8"/>
        <v>0</v>
      </c>
      <c r="M102" t="str">
        <f t="shared" si="9"/>
        <v/>
      </c>
      <c r="O102" t="s">
        <v>1953</v>
      </c>
    </row>
    <row r="103" spans="1:15" x14ac:dyDescent="0.35">
      <c r="A103" t="s">
        <v>1954</v>
      </c>
      <c r="B103" t="e">
        <f t="shared" si="7"/>
        <v>#VALUE!</v>
      </c>
      <c r="C103" t="e">
        <f t="shared" si="10"/>
        <v>#VALUE!</v>
      </c>
      <c r="D103">
        <f t="shared" si="10"/>
        <v>146</v>
      </c>
      <c r="E103" t="e">
        <f t="shared" si="10"/>
        <v>#VALUE!</v>
      </c>
      <c r="F103" t="e">
        <f t="shared" si="10"/>
        <v>#VALUE!</v>
      </c>
      <c r="G103" t="e">
        <f t="shared" si="10"/>
        <v>#VALUE!</v>
      </c>
      <c r="H103" t="e">
        <f t="shared" si="10"/>
        <v>#VALUE!</v>
      </c>
      <c r="I103">
        <f t="shared" si="10"/>
        <v>147</v>
      </c>
      <c r="J103">
        <f t="shared" si="10"/>
        <v>148</v>
      </c>
      <c r="K103" t="e">
        <f t="shared" si="10"/>
        <v>#VALUE!</v>
      </c>
      <c r="L103">
        <f t="shared" si="8"/>
        <v>441</v>
      </c>
      <c r="M103" t="str">
        <f t="shared" si="9"/>
        <v/>
      </c>
      <c r="O103" t="s">
        <v>1954</v>
      </c>
    </row>
    <row r="104" spans="1:15" x14ac:dyDescent="0.35">
      <c r="A104" t="s">
        <v>1955</v>
      </c>
      <c r="B104" t="e">
        <f t="shared" si="7"/>
        <v>#VALUE!</v>
      </c>
      <c r="C104" t="e">
        <f t="shared" si="10"/>
        <v>#VALUE!</v>
      </c>
      <c r="D104" t="e">
        <f t="shared" si="10"/>
        <v>#VALUE!</v>
      </c>
      <c r="E104" t="e">
        <f t="shared" si="10"/>
        <v>#VALUE!</v>
      </c>
      <c r="F104" t="e">
        <f t="shared" si="10"/>
        <v>#VALUE!</v>
      </c>
      <c r="G104" t="e">
        <f t="shared" si="10"/>
        <v>#VALUE!</v>
      </c>
      <c r="H104" t="e">
        <f t="shared" si="10"/>
        <v>#VALUE!</v>
      </c>
      <c r="I104" t="e">
        <f t="shared" si="10"/>
        <v>#VALUE!</v>
      </c>
      <c r="J104" t="e">
        <f t="shared" si="10"/>
        <v>#VALUE!</v>
      </c>
      <c r="K104" t="e">
        <f t="shared" si="10"/>
        <v>#VALUE!</v>
      </c>
      <c r="L104">
        <f t="shared" si="8"/>
        <v>0</v>
      </c>
      <c r="M104" t="str">
        <f t="shared" si="9"/>
        <v/>
      </c>
      <c r="O104" t="s">
        <v>1955</v>
      </c>
    </row>
    <row r="105" spans="1:15" x14ac:dyDescent="0.35">
      <c r="A105" t="s">
        <v>1956</v>
      </c>
      <c r="B105">
        <f t="shared" si="7"/>
        <v>140</v>
      </c>
      <c r="C105" t="e">
        <f t="shared" si="10"/>
        <v>#VALUE!</v>
      </c>
      <c r="D105">
        <f t="shared" si="10"/>
        <v>138</v>
      </c>
      <c r="E105" t="e">
        <f t="shared" si="10"/>
        <v>#VALUE!</v>
      </c>
      <c r="F105" t="e">
        <f t="shared" si="10"/>
        <v>#VALUE!</v>
      </c>
      <c r="G105" t="e">
        <f t="shared" si="10"/>
        <v>#VALUE!</v>
      </c>
      <c r="H105" t="e">
        <f t="shared" si="10"/>
        <v>#VALUE!</v>
      </c>
      <c r="I105" t="e">
        <f t="shared" si="10"/>
        <v>#VALUE!</v>
      </c>
      <c r="J105">
        <f t="shared" si="10"/>
        <v>139</v>
      </c>
      <c r="K105" t="e">
        <f t="shared" si="10"/>
        <v>#VALUE!</v>
      </c>
      <c r="L105">
        <f t="shared" si="8"/>
        <v>417</v>
      </c>
      <c r="M105" t="str">
        <f t="shared" si="9"/>
        <v/>
      </c>
      <c r="O105" t="s">
        <v>1956</v>
      </c>
    </row>
    <row r="106" spans="1:15" x14ac:dyDescent="0.35">
      <c r="A106" t="s">
        <v>634</v>
      </c>
      <c r="B106" t="e">
        <f t="shared" si="7"/>
        <v>#VALUE!</v>
      </c>
      <c r="C106" t="e">
        <f t="shared" si="10"/>
        <v>#VALUE!</v>
      </c>
      <c r="D106" t="e">
        <f t="shared" si="10"/>
        <v>#VALUE!</v>
      </c>
      <c r="E106" t="e">
        <f t="shared" si="10"/>
        <v>#VALUE!</v>
      </c>
      <c r="F106" t="e">
        <f t="shared" si="10"/>
        <v>#VALUE!</v>
      </c>
      <c r="G106" t="e">
        <f t="shared" si="10"/>
        <v>#VALUE!</v>
      </c>
      <c r="H106" t="e">
        <f t="shared" si="10"/>
        <v>#VALUE!</v>
      </c>
      <c r="I106" t="e">
        <f t="shared" si="10"/>
        <v>#VALUE!</v>
      </c>
      <c r="J106" t="e">
        <f t="shared" si="10"/>
        <v>#VALUE!</v>
      </c>
      <c r="K106" t="e">
        <f t="shared" si="10"/>
        <v>#VALUE!</v>
      </c>
      <c r="L106">
        <f t="shared" si="8"/>
        <v>0</v>
      </c>
      <c r="M106" t="str">
        <f t="shared" si="9"/>
        <v/>
      </c>
      <c r="O106" t="s">
        <v>634</v>
      </c>
    </row>
    <row r="107" spans="1:15" x14ac:dyDescent="0.35">
      <c r="A107" t="s">
        <v>1957</v>
      </c>
      <c r="B107" t="e">
        <f t="shared" si="7"/>
        <v>#VALUE!</v>
      </c>
      <c r="C107" t="e">
        <f t="shared" si="10"/>
        <v>#VALUE!</v>
      </c>
      <c r="D107">
        <f t="shared" si="10"/>
        <v>115</v>
      </c>
      <c r="E107" t="e">
        <f t="shared" si="10"/>
        <v>#VALUE!</v>
      </c>
      <c r="F107" t="e">
        <f t="shared" si="10"/>
        <v>#VALUE!</v>
      </c>
      <c r="G107" t="e">
        <f t="shared" si="10"/>
        <v>#VALUE!</v>
      </c>
      <c r="H107" t="e">
        <f t="shared" si="10"/>
        <v>#VALUE!</v>
      </c>
      <c r="I107" t="e">
        <f t="shared" si="10"/>
        <v>#VALUE!</v>
      </c>
      <c r="J107">
        <f t="shared" si="10"/>
        <v>116</v>
      </c>
      <c r="K107" t="e">
        <f t="shared" si="10"/>
        <v>#VALUE!</v>
      </c>
      <c r="L107">
        <f t="shared" si="8"/>
        <v>231</v>
      </c>
      <c r="M107" t="str">
        <f t="shared" si="9"/>
        <v/>
      </c>
      <c r="O107" t="s">
        <v>1957</v>
      </c>
    </row>
    <row r="108" spans="1:15" x14ac:dyDescent="0.35">
      <c r="A108" t="s">
        <v>1958</v>
      </c>
      <c r="B108" t="e">
        <f t="shared" si="7"/>
        <v>#VALUE!</v>
      </c>
      <c r="C108" t="e">
        <f t="shared" si="10"/>
        <v>#VALUE!</v>
      </c>
      <c r="D108" t="e">
        <f t="shared" si="10"/>
        <v>#VALUE!</v>
      </c>
      <c r="E108" t="e">
        <f t="shared" si="10"/>
        <v>#VALUE!</v>
      </c>
      <c r="F108" t="e">
        <f t="shared" si="10"/>
        <v>#VALUE!</v>
      </c>
      <c r="G108" t="e">
        <f t="shared" si="10"/>
        <v>#VALUE!</v>
      </c>
      <c r="H108" t="e">
        <f t="shared" si="10"/>
        <v>#VALUE!</v>
      </c>
      <c r="I108" t="e">
        <f t="shared" si="10"/>
        <v>#VALUE!</v>
      </c>
      <c r="J108" t="e">
        <f t="shared" si="10"/>
        <v>#VALUE!</v>
      </c>
      <c r="K108" t="e">
        <f t="shared" si="10"/>
        <v>#VALUE!</v>
      </c>
      <c r="L108">
        <f t="shared" si="8"/>
        <v>0</v>
      </c>
      <c r="M108" t="str">
        <f t="shared" si="9"/>
        <v/>
      </c>
      <c r="O108" t="s">
        <v>1958</v>
      </c>
    </row>
    <row r="109" spans="1:15" x14ac:dyDescent="0.35">
      <c r="A109" t="s">
        <v>1959</v>
      </c>
      <c r="B109" t="e">
        <f t="shared" si="7"/>
        <v>#VALUE!</v>
      </c>
      <c r="C109" t="e">
        <f t="shared" si="10"/>
        <v>#VALUE!</v>
      </c>
      <c r="D109">
        <f t="shared" si="10"/>
        <v>95</v>
      </c>
      <c r="E109" t="e">
        <f t="shared" si="10"/>
        <v>#VALUE!</v>
      </c>
      <c r="F109">
        <f t="shared" si="10"/>
        <v>97</v>
      </c>
      <c r="G109" t="e">
        <f t="shared" si="10"/>
        <v>#VALUE!</v>
      </c>
      <c r="H109" t="e">
        <f t="shared" si="10"/>
        <v>#VALUE!</v>
      </c>
      <c r="I109" t="e">
        <f t="shared" si="10"/>
        <v>#VALUE!</v>
      </c>
      <c r="J109">
        <f t="shared" si="10"/>
        <v>96</v>
      </c>
      <c r="K109" t="e">
        <f t="shared" si="10"/>
        <v>#VALUE!</v>
      </c>
      <c r="L109">
        <f t="shared" si="8"/>
        <v>288</v>
      </c>
      <c r="M109" t="str">
        <f t="shared" si="9"/>
        <v/>
      </c>
      <c r="O109" t="s">
        <v>1959</v>
      </c>
    </row>
    <row r="110" spans="1:15" x14ac:dyDescent="0.35">
      <c r="A110" t="s">
        <v>1960</v>
      </c>
      <c r="B110" t="e">
        <f t="shared" si="7"/>
        <v>#VALUE!</v>
      </c>
      <c r="C110" t="e">
        <f t="shared" si="10"/>
        <v>#VALUE!</v>
      </c>
      <c r="D110" t="e">
        <f t="shared" si="10"/>
        <v>#VALUE!</v>
      </c>
      <c r="E110" t="e">
        <f t="shared" si="10"/>
        <v>#VALUE!</v>
      </c>
      <c r="F110" t="e">
        <f t="shared" si="10"/>
        <v>#VALUE!</v>
      </c>
      <c r="G110" t="e">
        <f t="shared" si="10"/>
        <v>#VALUE!</v>
      </c>
      <c r="H110" t="e">
        <f t="shared" si="10"/>
        <v>#VALUE!</v>
      </c>
      <c r="I110" t="e">
        <f t="shared" si="10"/>
        <v>#VALUE!</v>
      </c>
      <c r="J110" t="e">
        <f t="shared" si="10"/>
        <v>#VALUE!</v>
      </c>
      <c r="K110" t="e">
        <f t="shared" si="10"/>
        <v>#VALUE!</v>
      </c>
      <c r="L110">
        <f t="shared" si="8"/>
        <v>0</v>
      </c>
      <c r="M110" t="str">
        <f t="shared" si="9"/>
        <v/>
      </c>
      <c r="O110" t="s">
        <v>1960</v>
      </c>
    </row>
    <row r="111" spans="1:15" x14ac:dyDescent="0.35">
      <c r="A111" t="s">
        <v>1961</v>
      </c>
      <c r="B111" t="e">
        <f t="shared" si="7"/>
        <v>#VALUE!</v>
      </c>
      <c r="C111" t="e">
        <f t="shared" si="10"/>
        <v>#VALUE!</v>
      </c>
      <c r="D111">
        <f t="shared" si="10"/>
        <v>175</v>
      </c>
      <c r="E111" t="e">
        <f t="shared" si="10"/>
        <v>#VALUE!</v>
      </c>
      <c r="F111" t="e">
        <f t="shared" si="10"/>
        <v>#VALUE!</v>
      </c>
      <c r="G111" t="e">
        <f t="shared" si="10"/>
        <v>#VALUE!</v>
      </c>
      <c r="H111" t="e">
        <f t="shared" si="10"/>
        <v>#VALUE!</v>
      </c>
      <c r="I111" t="e">
        <f t="shared" si="10"/>
        <v>#VALUE!</v>
      </c>
      <c r="J111" t="e">
        <f t="shared" si="10"/>
        <v>#VALUE!</v>
      </c>
      <c r="K111">
        <f t="shared" si="10"/>
        <v>176</v>
      </c>
      <c r="L111">
        <f t="shared" si="8"/>
        <v>351</v>
      </c>
      <c r="M111" t="str">
        <f t="shared" si="9"/>
        <v/>
      </c>
      <c r="O111" t="s">
        <v>1961</v>
      </c>
    </row>
    <row r="112" spans="1:15" x14ac:dyDescent="0.35">
      <c r="A112" t="s">
        <v>1088</v>
      </c>
      <c r="B112" t="e">
        <f t="shared" si="7"/>
        <v>#VALUE!</v>
      </c>
      <c r="C112" t="e">
        <f t="shared" si="10"/>
        <v>#VALUE!</v>
      </c>
      <c r="D112" t="e">
        <f t="shared" si="10"/>
        <v>#VALUE!</v>
      </c>
      <c r="E112" t="e">
        <f t="shared" si="10"/>
        <v>#VALUE!</v>
      </c>
      <c r="F112" t="e">
        <f t="shared" si="10"/>
        <v>#VALUE!</v>
      </c>
      <c r="G112" t="e">
        <f t="shared" si="10"/>
        <v>#VALUE!</v>
      </c>
      <c r="H112" t="e">
        <f t="shared" si="10"/>
        <v>#VALUE!</v>
      </c>
      <c r="I112" t="e">
        <f t="shared" si="10"/>
        <v>#VALUE!</v>
      </c>
      <c r="J112" t="e">
        <f t="shared" si="10"/>
        <v>#VALUE!</v>
      </c>
      <c r="K112" t="e">
        <f t="shared" si="10"/>
        <v>#VALUE!</v>
      </c>
      <c r="L112">
        <f t="shared" si="8"/>
        <v>0</v>
      </c>
      <c r="M112" t="str">
        <f t="shared" si="9"/>
        <v/>
      </c>
      <c r="O112" t="s">
        <v>1088</v>
      </c>
    </row>
    <row r="113" spans="1:15" x14ac:dyDescent="0.35">
      <c r="A113" t="s">
        <v>1962</v>
      </c>
      <c r="B113">
        <f t="shared" si="7"/>
        <v>144</v>
      </c>
      <c r="C113" t="e">
        <f t="shared" si="10"/>
        <v>#VALUE!</v>
      </c>
      <c r="D113" t="e">
        <f t="shared" si="10"/>
        <v>#VALUE!</v>
      </c>
      <c r="E113">
        <f t="shared" si="10"/>
        <v>143</v>
      </c>
      <c r="F113" t="e">
        <f t="shared" si="10"/>
        <v>#VALUE!</v>
      </c>
      <c r="G113" t="e">
        <f t="shared" si="10"/>
        <v>#VALUE!</v>
      </c>
      <c r="H113" t="e">
        <f t="shared" si="10"/>
        <v>#VALUE!</v>
      </c>
      <c r="I113" t="e">
        <f t="shared" si="10"/>
        <v>#VALUE!</v>
      </c>
      <c r="J113" t="e">
        <f t="shared" si="10"/>
        <v>#VALUE!</v>
      </c>
      <c r="K113" t="e">
        <f t="shared" si="10"/>
        <v>#VALUE!</v>
      </c>
      <c r="L113">
        <f t="shared" si="8"/>
        <v>287</v>
      </c>
      <c r="M113" t="str">
        <f t="shared" si="9"/>
        <v/>
      </c>
      <c r="O113" t="s">
        <v>1962</v>
      </c>
    </row>
    <row r="114" spans="1:15" x14ac:dyDescent="0.35">
      <c r="A114" t="s">
        <v>1326</v>
      </c>
      <c r="B114" t="e">
        <f t="shared" si="7"/>
        <v>#VALUE!</v>
      </c>
      <c r="C114" t="e">
        <f t="shared" si="10"/>
        <v>#VALUE!</v>
      </c>
      <c r="D114" t="e">
        <f t="shared" si="10"/>
        <v>#VALUE!</v>
      </c>
      <c r="E114" t="e">
        <f t="shared" si="10"/>
        <v>#VALUE!</v>
      </c>
      <c r="F114" t="e">
        <f t="shared" si="10"/>
        <v>#VALUE!</v>
      </c>
      <c r="G114" t="e">
        <f t="shared" si="10"/>
        <v>#VALUE!</v>
      </c>
      <c r="H114" t="e">
        <f t="shared" si="10"/>
        <v>#VALUE!</v>
      </c>
      <c r="I114" t="e">
        <f t="shared" si="10"/>
        <v>#VALUE!</v>
      </c>
      <c r="J114" t="e">
        <f t="shared" si="10"/>
        <v>#VALUE!</v>
      </c>
      <c r="K114" t="e">
        <f t="shared" si="10"/>
        <v>#VALUE!</v>
      </c>
      <c r="L114">
        <f t="shared" si="8"/>
        <v>0</v>
      </c>
      <c r="M114" t="str">
        <f t="shared" si="9"/>
        <v/>
      </c>
      <c r="O114" t="s">
        <v>1326</v>
      </c>
    </row>
    <row r="115" spans="1:15" x14ac:dyDescent="0.35">
      <c r="A115" t="s">
        <v>1963</v>
      </c>
      <c r="B115">
        <f t="shared" si="7"/>
        <v>154</v>
      </c>
      <c r="C115" t="e">
        <f t="shared" si="10"/>
        <v>#VALUE!</v>
      </c>
      <c r="D115" t="e">
        <f t="shared" si="10"/>
        <v>#VALUE!</v>
      </c>
      <c r="E115">
        <f t="shared" si="10"/>
        <v>153</v>
      </c>
      <c r="F115" t="e">
        <f t="shared" si="10"/>
        <v>#VALUE!</v>
      </c>
      <c r="G115" t="e">
        <f t="shared" si="10"/>
        <v>#VALUE!</v>
      </c>
      <c r="H115" t="e">
        <f t="shared" si="10"/>
        <v>#VALUE!</v>
      </c>
      <c r="I115" t="e">
        <f t="shared" si="10"/>
        <v>#VALUE!</v>
      </c>
      <c r="J115">
        <f t="shared" si="10"/>
        <v>155</v>
      </c>
      <c r="K115" t="e">
        <f t="shared" si="10"/>
        <v>#VALUE!</v>
      </c>
      <c r="L115">
        <f t="shared" si="8"/>
        <v>462</v>
      </c>
      <c r="M115" t="str">
        <f t="shared" si="9"/>
        <v/>
      </c>
      <c r="O115" t="s">
        <v>1963</v>
      </c>
    </row>
    <row r="116" spans="1:15" x14ac:dyDescent="0.35">
      <c r="A116" t="s">
        <v>1964</v>
      </c>
      <c r="B116" t="e">
        <f t="shared" si="7"/>
        <v>#VALUE!</v>
      </c>
      <c r="C116" t="e">
        <f t="shared" si="10"/>
        <v>#VALUE!</v>
      </c>
      <c r="D116" t="e">
        <f t="shared" si="10"/>
        <v>#VALUE!</v>
      </c>
      <c r="E116" t="e">
        <f t="shared" si="10"/>
        <v>#VALUE!</v>
      </c>
      <c r="F116" t="e">
        <f t="shared" si="10"/>
        <v>#VALUE!</v>
      </c>
      <c r="G116" t="e">
        <f t="shared" si="10"/>
        <v>#VALUE!</v>
      </c>
      <c r="H116" t="e">
        <f t="shared" si="10"/>
        <v>#VALUE!</v>
      </c>
      <c r="I116" t="e">
        <f t="shared" si="10"/>
        <v>#VALUE!</v>
      </c>
      <c r="J116" t="e">
        <f t="shared" si="10"/>
        <v>#VALUE!</v>
      </c>
      <c r="K116" t="e">
        <f t="shared" si="10"/>
        <v>#VALUE!</v>
      </c>
      <c r="L116">
        <f t="shared" si="8"/>
        <v>0</v>
      </c>
      <c r="M116" t="str">
        <f t="shared" si="9"/>
        <v/>
      </c>
      <c r="O116" t="s">
        <v>1964</v>
      </c>
    </row>
    <row r="117" spans="1:15" x14ac:dyDescent="0.35">
      <c r="A117" t="s">
        <v>1965</v>
      </c>
      <c r="B117" t="e">
        <f t="shared" si="7"/>
        <v>#VALUE!</v>
      </c>
      <c r="C117">
        <f t="shared" si="10"/>
        <v>133</v>
      </c>
      <c r="D117" t="e">
        <f t="shared" ref="C117:K145" si="11">SEARCH(D$1,$A117)</f>
        <v>#VALUE!</v>
      </c>
      <c r="E117">
        <f t="shared" si="11"/>
        <v>132</v>
      </c>
      <c r="F117" t="e">
        <f t="shared" si="11"/>
        <v>#VALUE!</v>
      </c>
      <c r="G117" t="e">
        <f t="shared" si="11"/>
        <v>#VALUE!</v>
      </c>
      <c r="H117">
        <f t="shared" si="11"/>
        <v>134</v>
      </c>
      <c r="I117" t="e">
        <f t="shared" si="11"/>
        <v>#VALUE!</v>
      </c>
      <c r="J117" t="e">
        <f t="shared" si="11"/>
        <v>#VALUE!</v>
      </c>
      <c r="K117" t="e">
        <f t="shared" si="11"/>
        <v>#VALUE!</v>
      </c>
      <c r="L117">
        <f t="shared" si="8"/>
        <v>399</v>
      </c>
      <c r="M117" t="str">
        <f t="shared" si="9"/>
        <v/>
      </c>
      <c r="O117" t="s">
        <v>1965</v>
      </c>
    </row>
    <row r="118" spans="1:15" x14ac:dyDescent="0.35">
      <c r="A118" t="s">
        <v>1966</v>
      </c>
      <c r="B118" t="e">
        <f t="shared" si="7"/>
        <v>#VALUE!</v>
      </c>
      <c r="C118" t="e">
        <f t="shared" si="11"/>
        <v>#VALUE!</v>
      </c>
      <c r="D118" t="e">
        <f t="shared" si="11"/>
        <v>#VALUE!</v>
      </c>
      <c r="E118" t="e">
        <f t="shared" si="11"/>
        <v>#VALUE!</v>
      </c>
      <c r="F118" t="e">
        <f t="shared" si="11"/>
        <v>#VALUE!</v>
      </c>
      <c r="G118" t="e">
        <f t="shared" si="11"/>
        <v>#VALUE!</v>
      </c>
      <c r="H118" t="e">
        <f t="shared" si="11"/>
        <v>#VALUE!</v>
      </c>
      <c r="I118" t="e">
        <f t="shared" si="11"/>
        <v>#VALUE!</v>
      </c>
      <c r="J118" t="e">
        <f t="shared" si="11"/>
        <v>#VALUE!</v>
      </c>
      <c r="K118" t="e">
        <f t="shared" si="11"/>
        <v>#VALUE!</v>
      </c>
      <c r="L118">
        <f t="shared" si="8"/>
        <v>0</v>
      </c>
      <c r="M118" t="str">
        <f t="shared" si="9"/>
        <v/>
      </c>
      <c r="O118" t="s">
        <v>1966</v>
      </c>
    </row>
    <row r="119" spans="1:15" x14ac:dyDescent="0.35">
      <c r="A119" t="s">
        <v>1967</v>
      </c>
      <c r="B119" t="e">
        <f t="shared" si="7"/>
        <v>#VALUE!</v>
      </c>
      <c r="C119" t="e">
        <f t="shared" si="11"/>
        <v>#VALUE!</v>
      </c>
      <c r="D119">
        <f t="shared" si="11"/>
        <v>125</v>
      </c>
      <c r="E119">
        <f t="shared" si="11"/>
        <v>124</v>
      </c>
      <c r="F119">
        <f t="shared" si="11"/>
        <v>126</v>
      </c>
      <c r="G119" t="e">
        <f t="shared" si="11"/>
        <v>#VALUE!</v>
      </c>
      <c r="H119" t="e">
        <f t="shared" si="11"/>
        <v>#VALUE!</v>
      </c>
      <c r="I119" t="e">
        <f t="shared" si="11"/>
        <v>#VALUE!</v>
      </c>
      <c r="J119" t="e">
        <f t="shared" si="11"/>
        <v>#VALUE!</v>
      </c>
      <c r="K119" t="e">
        <f t="shared" si="11"/>
        <v>#VALUE!</v>
      </c>
      <c r="L119">
        <f t="shared" si="8"/>
        <v>375</v>
      </c>
      <c r="M119" t="str">
        <f t="shared" si="9"/>
        <v/>
      </c>
      <c r="O119" t="s">
        <v>1967</v>
      </c>
    </row>
    <row r="120" spans="1:15" x14ac:dyDescent="0.35">
      <c r="A120" t="s">
        <v>1968</v>
      </c>
      <c r="B120" t="e">
        <f t="shared" si="7"/>
        <v>#VALUE!</v>
      </c>
      <c r="C120" t="e">
        <f t="shared" si="11"/>
        <v>#VALUE!</v>
      </c>
      <c r="D120" t="e">
        <f t="shared" si="11"/>
        <v>#VALUE!</v>
      </c>
      <c r="E120" t="e">
        <f t="shared" si="11"/>
        <v>#VALUE!</v>
      </c>
      <c r="F120" t="e">
        <f t="shared" si="11"/>
        <v>#VALUE!</v>
      </c>
      <c r="G120" t="e">
        <f t="shared" si="11"/>
        <v>#VALUE!</v>
      </c>
      <c r="H120" t="e">
        <f t="shared" si="11"/>
        <v>#VALUE!</v>
      </c>
      <c r="I120" t="e">
        <f t="shared" si="11"/>
        <v>#VALUE!</v>
      </c>
      <c r="J120" t="e">
        <f t="shared" si="11"/>
        <v>#VALUE!</v>
      </c>
      <c r="K120" t="e">
        <f t="shared" si="11"/>
        <v>#VALUE!</v>
      </c>
      <c r="L120">
        <f t="shared" si="8"/>
        <v>0</v>
      </c>
      <c r="M120" t="str">
        <f t="shared" si="9"/>
        <v/>
      </c>
      <c r="O120" t="s">
        <v>1968</v>
      </c>
    </row>
    <row r="121" spans="1:15" x14ac:dyDescent="0.35">
      <c r="A121" t="s">
        <v>1969</v>
      </c>
      <c r="B121" t="e">
        <f t="shared" si="7"/>
        <v>#VALUE!</v>
      </c>
      <c r="C121">
        <f t="shared" si="11"/>
        <v>153</v>
      </c>
      <c r="D121" t="e">
        <f t="shared" si="11"/>
        <v>#VALUE!</v>
      </c>
      <c r="E121">
        <f t="shared" si="11"/>
        <v>151</v>
      </c>
      <c r="F121" t="e">
        <f t="shared" si="11"/>
        <v>#VALUE!</v>
      </c>
      <c r="G121" t="e">
        <f t="shared" si="11"/>
        <v>#VALUE!</v>
      </c>
      <c r="H121" t="e">
        <f t="shared" si="11"/>
        <v>#VALUE!</v>
      </c>
      <c r="I121" t="e">
        <f t="shared" si="11"/>
        <v>#VALUE!</v>
      </c>
      <c r="J121" t="e">
        <f t="shared" si="11"/>
        <v>#VALUE!</v>
      </c>
      <c r="K121" t="e">
        <f t="shared" si="11"/>
        <v>#VALUE!</v>
      </c>
      <c r="L121">
        <f t="shared" si="8"/>
        <v>304</v>
      </c>
      <c r="M121" t="str">
        <f t="shared" si="9"/>
        <v/>
      </c>
      <c r="O121" t="s">
        <v>1969</v>
      </c>
    </row>
    <row r="122" spans="1:15" x14ac:dyDescent="0.35">
      <c r="A122" t="s">
        <v>1970</v>
      </c>
      <c r="B122" t="e">
        <f t="shared" si="7"/>
        <v>#VALUE!</v>
      </c>
      <c r="C122" t="e">
        <f t="shared" si="11"/>
        <v>#VALUE!</v>
      </c>
      <c r="D122" t="e">
        <f t="shared" si="11"/>
        <v>#VALUE!</v>
      </c>
      <c r="E122" t="e">
        <f t="shared" si="11"/>
        <v>#VALUE!</v>
      </c>
      <c r="F122" t="e">
        <f t="shared" si="11"/>
        <v>#VALUE!</v>
      </c>
      <c r="G122" t="e">
        <f t="shared" si="11"/>
        <v>#VALUE!</v>
      </c>
      <c r="H122" t="e">
        <f t="shared" si="11"/>
        <v>#VALUE!</v>
      </c>
      <c r="I122" t="e">
        <f t="shared" si="11"/>
        <v>#VALUE!</v>
      </c>
      <c r="J122" t="e">
        <f t="shared" si="11"/>
        <v>#VALUE!</v>
      </c>
      <c r="K122" t="e">
        <f t="shared" si="11"/>
        <v>#VALUE!</v>
      </c>
      <c r="L122">
        <f t="shared" si="8"/>
        <v>0</v>
      </c>
      <c r="M122" t="str">
        <f t="shared" si="9"/>
        <v/>
      </c>
      <c r="O122" t="s">
        <v>1970</v>
      </c>
    </row>
    <row r="123" spans="1:15" x14ac:dyDescent="0.35">
      <c r="A123" t="s">
        <v>1971</v>
      </c>
      <c r="B123" t="e">
        <f t="shared" si="7"/>
        <v>#VALUE!</v>
      </c>
      <c r="C123" t="e">
        <f t="shared" si="11"/>
        <v>#VALUE!</v>
      </c>
      <c r="D123" t="e">
        <f t="shared" si="11"/>
        <v>#VALUE!</v>
      </c>
      <c r="E123">
        <f t="shared" si="11"/>
        <v>137</v>
      </c>
      <c r="F123" t="e">
        <f t="shared" si="11"/>
        <v>#VALUE!</v>
      </c>
      <c r="G123" t="e">
        <f t="shared" si="11"/>
        <v>#VALUE!</v>
      </c>
      <c r="H123" t="e">
        <f t="shared" si="11"/>
        <v>#VALUE!</v>
      </c>
      <c r="I123" t="e">
        <f t="shared" si="11"/>
        <v>#VALUE!</v>
      </c>
      <c r="J123" t="e">
        <f t="shared" si="11"/>
        <v>#VALUE!</v>
      </c>
      <c r="K123" t="e">
        <f t="shared" si="11"/>
        <v>#VALUE!</v>
      </c>
      <c r="L123">
        <f t="shared" si="8"/>
        <v>137</v>
      </c>
      <c r="M123" t="str">
        <f t="shared" si="9"/>
        <v/>
      </c>
      <c r="O123" t="s">
        <v>1971</v>
      </c>
    </row>
    <row r="124" spans="1:15" x14ac:dyDescent="0.35">
      <c r="A124" t="s">
        <v>1972</v>
      </c>
      <c r="B124" t="e">
        <f t="shared" si="7"/>
        <v>#VALUE!</v>
      </c>
      <c r="C124" t="e">
        <f t="shared" si="11"/>
        <v>#VALUE!</v>
      </c>
      <c r="D124" t="e">
        <f t="shared" si="11"/>
        <v>#VALUE!</v>
      </c>
      <c r="E124" t="e">
        <f t="shared" si="11"/>
        <v>#VALUE!</v>
      </c>
      <c r="F124" t="e">
        <f t="shared" si="11"/>
        <v>#VALUE!</v>
      </c>
      <c r="G124" t="e">
        <f t="shared" si="11"/>
        <v>#VALUE!</v>
      </c>
      <c r="H124" t="e">
        <f t="shared" si="11"/>
        <v>#VALUE!</v>
      </c>
      <c r="I124" t="e">
        <f t="shared" si="11"/>
        <v>#VALUE!</v>
      </c>
      <c r="J124" t="e">
        <f t="shared" si="11"/>
        <v>#VALUE!</v>
      </c>
      <c r="K124" t="e">
        <f t="shared" si="11"/>
        <v>#VALUE!</v>
      </c>
      <c r="L124">
        <f t="shared" si="8"/>
        <v>0</v>
      </c>
      <c r="M124" t="str">
        <f t="shared" si="9"/>
        <v/>
      </c>
      <c r="O124" t="s">
        <v>1972</v>
      </c>
    </row>
    <row r="125" spans="1:15" x14ac:dyDescent="0.35">
      <c r="A125" t="s">
        <v>1973</v>
      </c>
      <c r="B125" t="e">
        <f>SEARCH(B$1,$A125)</f>
        <v>#VALUE!</v>
      </c>
      <c r="C125">
        <f t="shared" si="11"/>
        <v>118</v>
      </c>
      <c r="D125" t="e">
        <f t="shared" si="11"/>
        <v>#VALUE!</v>
      </c>
      <c r="E125">
        <f t="shared" si="11"/>
        <v>116</v>
      </c>
      <c r="F125">
        <f t="shared" si="11"/>
        <v>117</v>
      </c>
      <c r="G125" t="e">
        <f t="shared" si="11"/>
        <v>#VALUE!</v>
      </c>
      <c r="H125" t="e">
        <f t="shared" si="11"/>
        <v>#VALUE!</v>
      </c>
      <c r="I125" t="e">
        <f t="shared" si="11"/>
        <v>#VALUE!</v>
      </c>
      <c r="J125" t="e">
        <f t="shared" si="11"/>
        <v>#VALUE!</v>
      </c>
      <c r="K125" t="e">
        <f t="shared" si="11"/>
        <v>#VALUE!</v>
      </c>
      <c r="L125">
        <f t="shared" si="8"/>
        <v>351</v>
      </c>
      <c r="M125" t="str">
        <f t="shared" si="9"/>
        <v/>
      </c>
      <c r="O125" t="s">
        <v>1973</v>
      </c>
    </row>
    <row r="126" spans="1:15" x14ac:dyDescent="0.35">
      <c r="A126" t="s">
        <v>1974</v>
      </c>
      <c r="B126" t="e">
        <f>SEARCH(B$1,$A126)</f>
        <v>#VALUE!</v>
      </c>
      <c r="C126" t="e">
        <f t="shared" si="11"/>
        <v>#VALUE!</v>
      </c>
      <c r="D126" t="e">
        <f t="shared" si="11"/>
        <v>#VALUE!</v>
      </c>
      <c r="E126" t="e">
        <f t="shared" si="11"/>
        <v>#VALUE!</v>
      </c>
      <c r="F126" t="e">
        <f t="shared" si="11"/>
        <v>#VALUE!</v>
      </c>
      <c r="G126" t="e">
        <f t="shared" si="11"/>
        <v>#VALUE!</v>
      </c>
      <c r="H126" t="e">
        <f t="shared" si="11"/>
        <v>#VALUE!</v>
      </c>
      <c r="I126" t="e">
        <f t="shared" si="11"/>
        <v>#VALUE!</v>
      </c>
      <c r="J126" t="e">
        <f t="shared" si="11"/>
        <v>#VALUE!</v>
      </c>
      <c r="K126" t="e">
        <f t="shared" si="11"/>
        <v>#VALUE!</v>
      </c>
      <c r="L126">
        <f t="shared" si="8"/>
        <v>0</v>
      </c>
      <c r="M126" t="str">
        <f t="shared" si="9"/>
        <v/>
      </c>
      <c r="O126" t="s">
        <v>1974</v>
      </c>
    </row>
    <row r="127" spans="1:15" x14ac:dyDescent="0.35">
      <c r="A127" t="s">
        <v>1975</v>
      </c>
      <c r="B127" t="e">
        <f>SEARCH(B$1,$A127)</f>
        <v>#VALUE!</v>
      </c>
      <c r="C127" t="e">
        <f t="shared" si="11"/>
        <v>#VALUE!</v>
      </c>
      <c r="D127" t="e">
        <f t="shared" si="11"/>
        <v>#VALUE!</v>
      </c>
      <c r="E127">
        <f t="shared" si="11"/>
        <v>164</v>
      </c>
      <c r="F127">
        <f t="shared" si="11"/>
        <v>165</v>
      </c>
      <c r="G127" t="e">
        <f t="shared" si="11"/>
        <v>#VALUE!</v>
      </c>
      <c r="H127" t="e">
        <f t="shared" si="11"/>
        <v>#VALUE!</v>
      </c>
      <c r="I127" t="e">
        <f t="shared" si="11"/>
        <v>#VALUE!</v>
      </c>
      <c r="J127" t="e">
        <f t="shared" si="11"/>
        <v>#VALUE!</v>
      </c>
      <c r="K127">
        <f t="shared" si="11"/>
        <v>166</v>
      </c>
      <c r="L127">
        <f t="shared" si="8"/>
        <v>495</v>
      </c>
      <c r="M127" t="str">
        <f t="shared" si="9"/>
        <v/>
      </c>
      <c r="O127" t="s">
        <v>1975</v>
      </c>
    </row>
    <row r="128" spans="1:15" x14ac:dyDescent="0.35">
      <c r="A128" t="s">
        <v>1976</v>
      </c>
      <c r="B128" t="e">
        <f>SEARCH(B$1,$A128)</f>
        <v>#VALUE!</v>
      </c>
      <c r="C128" t="e">
        <f t="shared" si="11"/>
        <v>#VALUE!</v>
      </c>
      <c r="D128" t="e">
        <f t="shared" si="11"/>
        <v>#VALUE!</v>
      </c>
      <c r="E128" t="e">
        <f t="shared" si="11"/>
        <v>#VALUE!</v>
      </c>
      <c r="F128" t="e">
        <f t="shared" si="11"/>
        <v>#VALUE!</v>
      </c>
      <c r="G128" t="e">
        <f t="shared" si="11"/>
        <v>#VALUE!</v>
      </c>
      <c r="H128" t="e">
        <f t="shared" si="11"/>
        <v>#VALUE!</v>
      </c>
      <c r="I128" t="e">
        <f t="shared" si="11"/>
        <v>#VALUE!</v>
      </c>
      <c r="J128" t="e">
        <f t="shared" si="11"/>
        <v>#VALUE!</v>
      </c>
      <c r="K128" t="e">
        <f t="shared" si="11"/>
        <v>#VALUE!</v>
      </c>
      <c r="L128">
        <f t="shared" si="8"/>
        <v>0</v>
      </c>
      <c r="M128" t="str">
        <f t="shared" si="9"/>
        <v/>
      </c>
      <c r="O128" t="s">
        <v>1976</v>
      </c>
    </row>
    <row r="129" spans="1:15" x14ac:dyDescent="0.35">
      <c r="A129" t="s">
        <v>1977</v>
      </c>
      <c r="B129" t="e">
        <f>SEARCH(B$1,$A129)</f>
        <v>#VALUE!</v>
      </c>
      <c r="C129" t="e">
        <f t="shared" si="11"/>
        <v>#VALUE!</v>
      </c>
      <c r="D129" t="e">
        <f t="shared" si="11"/>
        <v>#VALUE!</v>
      </c>
      <c r="E129">
        <f t="shared" si="11"/>
        <v>160</v>
      </c>
      <c r="F129" t="e">
        <f t="shared" si="11"/>
        <v>#VALUE!</v>
      </c>
      <c r="G129">
        <f t="shared" si="11"/>
        <v>161</v>
      </c>
      <c r="H129" t="e">
        <f t="shared" si="11"/>
        <v>#VALUE!</v>
      </c>
      <c r="I129">
        <f t="shared" si="11"/>
        <v>162</v>
      </c>
      <c r="J129" t="e">
        <f t="shared" si="11"/>
        <v>#VALUE!</v>
      </c>
      <c r="K129" t="e">
        <f t="shared" si="11"/>
        <v>#VALUE!</v>
      </c>
      <c r="L129">
        <f t="shared" si="8"/>
        <v>483</v>
      </c>
      <c r="M129" t="str">
        <f t="shared" si="9"/>
        <v/>
      </c>
      <c r="O129" t="s">
        <v>1977</v>
      </c>
    </row>
    <row r="130" spans="1:15" x14ac:dyDescent="0.35">
      <c r="A130" t="s">
        <v>1978</v>
      </c>
      <c r="B130" t="e">
        <f>SEARCH(B$1,$A130)</f>
        <v>#VALUE!</v>
      </c>
      <c r="C130" t="e">
        <f t="shared" si="11"/>
        <v>#VALUE!</v>
      </c>
      <c r="D130" t="e">
        <f t="shared" si="11"/>
        <v>#VALUE!</v>
      </c>
      <c r="E130" t="e">
        <f t="shared" si="11"/>
        <v>#VALUE!</v>
      </c>
      <c r="F130" t="e">
        <f t="shared" si="11"/>
        <v>#VALUE!</v>
      </c>
      <c r="G130" t="e">
        <f t="shared" si="11"/>
        <v>#VALUE!</v>
      </c>
      <c r="H130" t="e">
        <f t="shared" si="11"/>
        <v>#VALUE!</v>
      </c>
      <c r="I130" t="e">
        <f t="shared" si="11"/>
        <v>#VALUE!</v>
      </c>
      <c r="J130" t="e">
        <f t="shared" si="11"/>
        <v>#VALUE!</v>
      </c>
      <c r="K130" t="e">
        <f t="shared" si="11"/>
        <v>#VALUE!</v>
      </c>
      <c r="L130">
        <f t="shared" si="8"/>
        <v>0</v>
      </c>
      <c r="M130" t="str">
        <f t="shared" si="9"/>
        <v/>
      </c>
      <c r="O130" t="s">
        <v>1978</v>
      </c>
    </row>
    <row r="131" spans="1:15" x14ac:dyDescent="0.35">
      <c r="A131" t="s">
        <v>1979</v>
      </c>
      <c r="B131" t="e">
        <f>SEARCH(B$1,$A131)</f>
        <v>#VALUE!</v>
      </c>
      <c r="C131" t="e">
        <f t="shared" si="11"/>
        <v>#VALUE!</v>
      </c>
      <c r="D131" t="e">
        <f t="shared" si="11"/>
        <v>#VALUE!</v>
      </c>
      <c r="E131">
        <f t="shared" si="11"/>
        <v>130</v>
      </c>
      <c r="F131" t="e">
        <f t="shared" si="11"/>
        <v>#VALUE!</v>
      </c>
      <c r="G131">
        <f t="shared" si="11"/>
        <v>132</v>
      </c>
      <c r="H131">
        <f t="shared" si="11"/>
        <v>131</v>
      </c>
      <c r="I131" t="e">
        <f t="shared" si="11"/>
        <v>#VALUE!</v>
      </c>
      <c r="J131" t="e">
        <f t="shared" si="11"/>
        <v>#VALUE!</v>
      </c>
      <c r="K131" t="e">
        <f t="shared" si="11"/>
        <v>#VALUE!</v>
      </c>
      <c r="L131">
        <f t="shared" ref="L131:L194" si="12">SUMIF(B131:K131,"&lt;&gt;#VALUE!")</f>
        <v>393</v>
      </c>
      <c r="M131" t="str">
        <f t="shared" si="9"/>
        <v/>
      </c>
      <c r="O131" t="s">
        <v>1979</v>
      </c>
    </row>
    <row r="132" spans="1:15" x14ac:dyDescent="0.35">
      <c r="A132" t="s">
        <v>430</v>
      </c>
      <c r="B132" t="e">
        <f>SEARCH(B$1,$A132)</f>
        <v>#VALUE!</v>
      </c>
      <c r="C132" t="e">
        <f t="shared" si="11"/>
        <v>#VALUE!</v>
      </c>
      <c r="D132" t="e">
        <f t="shared" si="11"/>
        <v>#VALUE!</v>
      </c>
      <c r="E132" t="e">
        <f t="shared" si="11"/>
        <v>#VALUE!</v>
      </c>
      <c r="F132" t="e">
        <f t="shared" si="11"/>
        <v>#VALUE!</v>
      </c>
      <c r="G132" t="e">
        <f t="shared" si="11"/>
        <v>#VALUE!</v>
      </c>
      <c r="H132" t="e">
        <f t="shared" si="11"/>
        <v>#VALUE!</v>
      </c>
      <c r="I132" t="e">
        <f t="shared" si="11"/>
        <v>#VALUE!</v>
      </c>
      <c r="J132" t="e">
        <f t="shared" si="11"/>
        <v>#VALUE!</v>
      </c>
      <c r="K132" t="e">
        <f t="shared" si="11"/>
        <v>#VALUE!</v>
      </c>
      <c r="L132">
        <f t="shared" si="12"/>
        <v>0</v>
      </c>
      <c r="M132" t="str">
        <f t="shared" si="9"/>
        <v/>
      </c>
      <c r="O132" t="s">
        <v>430</v>
      </c>
    </row>
    <row r="133" spans="1:15" x14ac:dyDescent="0.35">
      <c r="A133" t="s">
        <v>1980</v>
      </c>
      <c r="B133" t="e">
        <f>SEARCH(B$1,$A133)</f>
        <v>#VALUE!</v>
      </c>
      <c r="C133" t="e">
        <f t="shared" si="11"/>
        <v>#VALUE!</v>
      </c>
      <c r="D133">
        <f t="shared" si="11"/>
        <v>145</v>
      </c>
      <c r="E133">
        <f t="shared" si="11"/>
        <v>143</v>
      </c>
      <c r="F133" t="e">
        <f t="shared" si="11"/>
        <v>#VALUE!</v>
      </c>
      <c r="G133" t="e">
        <f t="shared" si="11"/>
        <v>#VALUE!</v>
      </c>
      <c r="H133" t="e">
        <f t="shared" si="11"/>
        <v>#VALUE!</v>
      </c>
      <c r="I133">
        <f t="shared" si="11"/>
        <v>144</v>
      </c>
      <c r="J133" t="e">
        <f t="shared" si="11"/>
        <v>#VALUE!</v>
      </c>
      <c r="K133" t="e">
        <f t="shared" si="11"/>
        <v>#VALUE!</v>
      </c>
      <c r="L133">
        <f t="shared" si="12"/>
        <v>432</v>
      </c>
      <c r="M133" t="str">
        <f t="shared" si="9"/>
        <v/>
      </c>
      <c r="O133" t="s">
        <v>1980</v>
      </c>
    </row>
    <row r="134" spans="1:15" x14ac:dyDescent="0.35">
      <c r="A134" t="s">
        <v>1981</v>
      </c>
      <c r="B134" t="e">
        <f>SEARCH(B$1,$A134)</f>
        <v>#VALUE!</v>
      </c>
      <c r="C134" t="e">
        <f t="shared" si="11"/>
        <v>#VALUE!</v>
      </c>
      <c r="D134" t="e">
        <f t="shared" si="11"/>
        <v>#VALUE!</v>
      </c>
      <c r="E134" t="e">
        <f t="shared" si="11"/>
        <v>#VALUE!</v>
      </c>
      <c r="F134" t="e">
        <f t="shared" si="11"/>
        <v>#VALUE!</v>
      </c>
      <c r="G134" t="e">
        <f t="shared" si="11"/>
        <v>#VALUE!</v>
      </c>
      <c r="H134" t="e">
        <f t="shared" si="11"/>
        <v>#VALUE!</v>
      </c>
      <c r="I134" t="e">
        <f t="shared" si="11"/>
        <v>#VALUE!</v>
      </c>
      <c r="J134" t="e">
        <f t="shared" si="11"/>
        <v>#VALUE!</v>
      </c>
      <c r="K134" t="e">
        <f t="shared" si="11"/>
        <v>#VALUE!</v>
      </c>
      <c r="L134">
        <f t="shared" si="12"/>
        <v>0</v>
      </c>
      <c r="M134" t="str">
        <f t="shared" si="9"/>
        <v/>
      </c>
      <c r="O134" t="s">
        <v>1981</v>
      </c>
    </row>
    <row r="135" spans="1:15" x14ac:dyDescent="0.35">
      <c r="A135" t="s">
        <v>1982</v>
      </c>
      <c r="B135">
        <f>SEARCH(B$1,$A135)</f>
        <v>167</v>
      </c>
      <c r="C135" t="e">
        <f t="shared" si="11"/>
        <v>#VALUE!</v>
      </c>
      <c r="D135" t="e">
        <f t="shared" si="11"/>
        <v>#VALUE!</v>
      </c>
      <c r="E135">
        <f t="shared" si="11"/>
        <v>165</v>
      </c>
      <c r="F135" t="e">
        <f t="shared" si="11"/>
        <v>#VALUE!</v>
      </c>
      <c r="G135" t="e">
        <f t="shared" si="11"/>
        <v>#VALUE!</v>
      </c>
      <c r="H135" t="e">
        <f t="shared" si="11"/>
        <v>#VALUE!</v>
      </c>
      <c r="I135" t="e">
        <f t="shared" si="11"/>
        <v>#VALUE!</v>
      </c>
      <c r="J135">
        <f t="shared" si="11"/>
        <v>166</v>
      </c>
      <c r="K135" t="e">
        <f t="shared" si="11"/>
        <v>#VALUE!</v>
      </c>
      <c r="L135">
        <f t="shared" si="12"/>
        <v>498</v>
      </c>
      <c r="M135" t="str">
        <f t="shared" si="9"/>
        <v/>
      </c>
      <c r="O135" t="s">
        <v>1982</v>
      </c>
    </row>
    <row r="136" spans="1:15" x14ac:dyDescent="0.35">
      <c r="A136" t="s">
        <v>1983</v>
      </c>
      <c r="B136" t="e">
        <f>SEARCH(B$1,$A136)</f>
        <v>#VALUE!</v>
      </c>
      <c r="C136" t="e">
        <f t="shared" si="11"/>
        <v>#VALUE!</v>
      </c>
      <c r="D136" t="e">
        <f t="shared" si="11"/>
        <v>#VALUE!</v>
      </c>
      <c r="E136" t="e">
        <f t="shared" si="11"/>
        <v>#VALUE!</v>
      </c>
      <c r="F136" t="e">
        <f t="shared" si="11"/>
        <v>#VALUE!</v>
      </c>
      <c r="G136" t="e">
        <f t="shared" si="11"/>
        <v>#VALUE!</v>
      </c>
      <c r="H136" t="e">
        <f t="shared" si="11"/>
        <v>#VALUE!</v>
      </c>
      <c r="I136" t="e">
        <f t="shared" si="11"/>
        <v>#VALUE!</v>
      </c>
      <c r="J136" t="e">
        <f t="shared" si="11"/>
        <v>#VALUE!</v>
      </c>
      <c r="K136" t="e">
        <f t="shared" si="11"/>
        <v>#VALUE!</v>
      </c>
      <c r="L136">
        <f t="shared" si="12"/>
        <v>0</v>
      </c>
      <c r="M136" t="str">
        <f t="shared" si="9"/>
        <v/>
      </c>
      <c r="O136" t="s">
        <v>1983</v>
      </c>
    </row>
    <row r="137" spans="1:15" x14ac:dyDescent="0.35">
      <c r="A137" t="s">
        <v>1984</v>
      </c>
      <c r="B137" t="e">
        <f>SEARCH(B$1,$A137)</f>
        <v>#VALUE!</v>
      </c>
      <c r="C137" t="e">
        <f t="shared" si="11"/>
        <v>#VALUE!</v>
      </c>
      <c r="D137" t="e">
        <f t="shared" si="11"/>
        <v>#VALUE!</v>
      </c>
      <c r="E137">
        <f t="shared" si="11"/>
        <v>143</v>
      </c>
      <c r="F137" t="e">
        <f t="shared" si="11"/>
        <v>#VALUE!</v>
      </c>
      <c r="G137" t="e">
        <f t="shared" si="11"/>
        <v>#VALUE!</v>
      </c>
      <c r="H137" t="e">
        <f t="shared" si="11"/>
        <v>#VALUE!</v>
      </c>
      <c r="I137" t="e">
        <f t="shared" si="11"/>
        <v>#VALUE!</v>
      </c>
      <c r="J137">
        <f t="shared" si="11"/>
        <v>144</v>
      </c>
      <c r="K137" t="e">
        <f t="shared" si="11"/>
        <v>#VALUE!</v>
      </c>
      <c r="L137">
        <f t="shared" si="12"/>
        <v>287</v>
      </c>
      <c r="M137" t="str">
        <f t="shared" si="9"/>
        <v/>
      </c>
      <c r="O137" t="s">
        <v>1984</v>
      </c>
    </row>
    <row r="138" spans="1:15" x14ac:dyDescent="0.35">
      <c r="A138" t="s">
        <v>1985</v>
      </c>
      <c r="B138" t="e">
        <f>SEARCH(B$1,$A138)</f>
        <v>#VALUE!</v>
      </c>
      <c r="C138" t="e">
        <f t="shared" si="11"/>
        <v>#VALUE!</v>
      </c>
      <c r="D138" t="e">
        <f t="shared" si="11"/>
        <v>#VALUE!</v>
      </c>
      <c r="E138" t="e">
        <f t="shared" si="11"/>
        <v>#VALUE!</v>
      </c>
      <c r="F138" t="e">
        <f t="shared" si="11"/>
        <v>#VALUE!</v>
      </c>
      <c r="G138" t="e">
        <f t="shared" si="11"/>
        <v>#VALUE!</v>
      </c>
      <c r="H138" t="e">
        <f t="shared" si="11"/>
        <v>#VALUE!</v>
      </c>
      <c r="I138" t="e">
        <f t="shared" si="11"/>
        <v>#VALUE!</v>
      </c>
      <c r="J138" t="e">
        <f t="shared" si="11"/>
        <v>#VALUE!</v>
      </c>
      <c r="K138" t="e">
        <f t="shared" si="11"/>
        <v>#VALUE!</v>
      </c>
      <c r="L138">
        <f t="shared" si="12"/>
        <v>0</v>
      </c>
      <c r="M138" t="str">
        <f t="shared" ref="M138:M201" si="13">IF(AND(L137=0,L138=0),_xlfn.CONCAT(A138," ",A139),"")</f>
        <v/>
      </c>
      <c r="O138" t="s">
        <v>1985</v>
      </c>
    </row>
    <row r="139" spans="1:15" x14ac:dyDescent="0.35">
      <c r="A139" t="s">
        <v>1986</v>
      </c>
      <c r="B139" t="e">
        <f>SEARCH(B$1,$A139)</f>
        <v>#VALUE!</v>
      </c>
      <c r="C139" t="e">
        <f t="shared" si="11"/>
        <v>#VALUE!</v>
      </c>
      <c r="D139" t="e">
        <f t="shared" si="11"/>
        <v>#VALUE!</v>
      </c>
      <c r="E139">
        <f t="shared" si="11"/>
        <v>141</v>
      </c>
      <c r="F139" t="e">
        <f t="shared" si="11"/>
        <v>#VALUE!</v>
      </c>
      <c r="G139" t="e">
        <f t="shared" si="11"/>
        <v>#VALUE!</v>
      </c>
      <c r="H139">
        <f t="shared" si="11"/>
        <v>143</v>
      </c>
      <c r="I139" t="e">
        <f t="shared" si="11"/>
        <v>#VALUE!</v>
      </c>
      <c r="J139" t="e">
        <f t="shared" si="11"/>
        <v>#VALUE!</v>
      </c>
      <c r="K139">
        <f t="shared" si="11"/>
        <v>142</v>
      </c>
      <c r="L139">
        <f t="shared" si="12"/>
        <v>426</v>
      </c>
      <c r="M139" t="str">
        <f t="shared" si="13"/>
        <v/>
      </c>
      <c r="O139" t="s">
        <v>1986</v>
      </c>
    </row>
    <row r="140" spans="1:15" x14ac:dyDescent="0.35">
      <c r="A140" t="s">
        <v>1987</v>
      </c>
      <c r="B140" t="e">
        <f>SEARCH(B$1,$A140)</f>
        <v>#VALUE!</v>
      </c>
      <c r="C140" t="e">
        <f t="shared" si="11"/>
        <v>#VALUE!</v>
      </c>
      <c r="D140" t="e">
        <f t="shared" si="11"/>
        <v>#VALUE!</v>
      </c>
      <c r="E140" t="e">
        <f t="shared" si="11"/>
        <v>#VALUE!</v>
      </c>
      <c r="F140" t="e">
        <f t="shared" si="11"/>
        <v>#VALUE!</v>
      </c>
      <c r="G140" t="e">
        <f t="shared" si="11"/>
        <v>#VALUE!</v>
      </c>
      <c r="H140" t="e">
        <f t="shared" si="11"/>
        <v>#VALUE!</v>
      </c>
      <c r="I140" t="e">
        <f t="shared" si="11"/>
        <v>#VALUE!</v>
      </c>
      <c r="J140" t="e">
        <f t="shared" si="11"/>
        <v>#VALUE!</v>
      </c>
      <c r="K140" t="e">
        <f t="shared" si="11"/>
        <v>#VALUE!</v>
      </c>
      <c r="L140">
        <f t="shared" si="12"/>
        <v>0</v>
      </c>
      <c r="M140" t="str">
        <f t="shared" si="13"/>
        <v/>
      </c>
      <c r="O140" t="s">
        <v>1987</v>
      </c>
    </row>
    <row r="141" spans="1:15" x14ac:dyDescent="0.35">
      <c r="A141" t="s">
        <v>1988</v>
      </c>
      <c r="B141">
        <f>SEARCH(B$1,$A141)</f>
        <v>173</v>
      </c>
      <c r="C141" t="e">
        <f t="shared" si="11"/>
        <v>#VALUE!</v>
      </c>
      <c r="D141" t="e">
        <f t="shared" si="11"/>
        <v>#VALUE!</v>
      </c>
      <c r="E141" t="e">
        <f t="shared" si="11"/>
        <v>#VALUE!</v>
      </c>
      <c r="F141">
        <f t="shared" si="11"/>
        <v>172</v>
      </c>
      <c r="G141" t="e">
        <f t="shared" si="11"/>
        <v>#VALUE!</v>
      </c>
      <c r="H141" t="e">
        <f t="shared" si="11"/>
        <v>#VALUE!</v>
      </c>
      <c r="I141" t="e">
        <f t="shared" si="11"/>
        <v>#VALUE!</v>
      </c>
      <c r="J141" t="e">
        <f t="shared" si="11"/>
        <v>#VALUE!</v>
      </c>
      <c r="K141" t="e">
        <f t="shared" si="11"/>
        <v>#VALUE!</v>
      </c>
      <c r="L141">
        <f t="shared" si="12"/>
        <v>345</v>
      </c>
      <c r="M141" t="str">
        <f t="shared" si="13"/>
        <v/>
      </c>
      <c r="O141" t="s">
        <v>1988</v>
      </c>
    </row>
    <row r="142" spans="1:15" x14ac:dyDescent="0.35">
      <c r="A142" t="s">
        <v>1989</v>
      </c>
      <c r="B142" t="e">
        <f>SEARCH(B$1,$A142)</f>
        <v>#VALUE!</v>
      </c>
      <c r="C142" t="e">
        <f t="shared" si="11"/>
        <v>#VALUE!</v>
      </c>
      <c r="D142" t="e">
        <f t="shared" si="11"/>
        <v>#VALUE!</v>
      </c>
      <c r="E142" t="e">
        <f t="shared" si="11"/>
        <v>#VALUE!</v>
      </c>
      <c r="F142" t="e">
        <f t="shared" si="11"/>
        <v>#VALUE!</v>
      </c>
      <c r="G142" t="e">
        <f t="shared" si="11"/>
        <v>#VALUE!</v>
      </c>
      <c r="H142" t="e">
        <f t="shared" si="11"/>
        <v>#VALUE!</v>
      </c>
      <c r="I142" t="e">
        <f t="shared" si="11"/>
        <v>#VALUE!</v>
      </c>
      <c r="J142" t="e">
        <f t="shared" si="11"/>
        <v>#VALUE!</v>
      </c>
      <c r="K142" t="e">
        <f t="shared" si="11"/>
        <v>#VALUE!</v>
      </c>
      <c r="L142">
        <f t="shared" si="12"/>
        <v>0</v>
      </c>
      <c r="M142" t="str">
        <f t="shared" si="13"/>
        <v/>
      </c>
      <c r="O142" t="s">
        <v>1989</v>
      </c>
    </row>
    <row r="143" spans="1:15" x14ac:dyDescent="0.35">
      <c r="A143" t="s">
        <v>1990</v>
      </c>
      <c r="B143" t="e">
        <f>SEARCH(B$1,$A143)</f>
        <v>#VALUE!</v>
      </c>
      <c r="C143">
        <f t="shared" si="11"/>
        <v>122</v>
      </c>
      <c r="D143">
        <f t="shared" si="11"/>
        <v>123</v>
      </c>
      <c r="E143" t="e">
        <f t="shared" si="11"/>
        <v>#VALUE!</v>
      </c>
      <c r="F143">
        <f t="shared" si="11"/>
        <v>121</v>
      </c>
      <c r="G143" t="e">
        <f t="shared" si="11"/>
        <v>#VALUE!</v>
      </c>
      <c r="H143" t="e">
        <f t="shared" si="11"/>
        <v>#VALUE!</v>
      </c>
      <c r="I143" t="e">
        <f t="shared" si="11"/>
        <v>#VALUE!</v>
      </c>
      <c r="J143" t="e">
        <f t="shared" si="11"/>
        <v>#VALUE!</v>
      </c>
      <c r="K143" t="e">
        <f t="shared" si="11"/>
        <v>#VALUE!</v>
      </c>
      <c r="L143">
        <f t="shared" si="12"/>
        <v>366</v>
      </c>
      <c r="M143" t="str">
        <f t="shared" si="13"/>
        <v/>
      </c>
      <c r="O143" t="s">
        <v>1990</v>
      </c>
    </row>
    <row r="144" spans="1:15" x14ac:dyDescent="0.35">
      <c r="A144" t="s">
        <v>514</v>
      </c>
      <c r="B144" t="e">
        <f>SEARCH(B$1,$A144)</f>
        <v>#VALUE!</v>
      </c>
      <c r="C144" t="e">
        <f t="shared" si="11"/>
        <v>#VALUE!</v>
      </c>
      <c r="D144" t="e">
        <f t="shared" si="11"/>
        <v>#VALUE!</v>
      </c>
      <c r="E144" t="e">
        <f t="shared" si="11"/>
        <v>#VALUE!</v>
      </c>
      <c r="F144" t="e">
        <f t="shared" si="11"/>
        <v>#VALUE!</v>
      </c>
      <c r="G144" t="e">
        <f t="shared" si="11"/>
        <v>#VALUE!</v>
      </c>
      <c r="H144" t="e">
        <f t="shared" si="11"/>
        <v>#VALUE!</v>
      </c>
      <c r="I144" t="e">
        <f t="shared" si="11"/>
        <v>#VALUE!</v>
      </c>
      <c r="J144" t="e">
        <f t="shared" si="11"/>
        <v>#VALUE!</v>
      </c>
      <c r="K144" t="e">
        <f t="shared" si="11"/>
        <v>#VALUE!</v>
      </c>
      <c r="L144">
        <f t="shared" si="12"/>
        <v>0</v>
      </c>
      <c r="M144" t="str">
        <f t="shared" si="13"/>
        <v/>
      </c>
      <c r="O144" t="s">
        <v>514</v>
      </c>
    </row>
    <row r="145" spans="1:15" x14ac:dyDescent="0.35">
      <c r="A145" t="s">
        <v>1991</v>
      </c>
      <c r="B145" t="e">
        <f>SEARCH(B$1,$A145)</f>
        <v>#VALUE!</v>
      </c>
      <c r="C145">
        <f t="shared" si="11"/>
        <v>114</v>
      </c>
      <c r="D145" t="e">
        <f t="shared" si="11"/>
        <v>#VALUE!</v>
      </c>
      <c r="E145" t="e">
        <f t="shared" si="11"/>
        <v>#VALUE!</v>
      </c>
      <c r="F145">
        <f t="shared" si="11"/>
        <v>113</v>
      </c>
      <c r="G145" t="e">
        <f t="shared" ref="C145:K173" si="14">SEARCH(G$1,$A145)</f>
        <v>#VALUE!</v>
      </c>
      <c r="H145" t="e">
        <f t="shared" si="14"/>
        <v>#VALUE!</v>
      </c>
      <c r="I145" t="e">
        <f t="shared" si="14"/>
        <v>#VALUE!</v>
      </c>
      <c r="J145" t="e">
        <f t="shared" si="14"/>
        <v>#VALUE!</v>
      </c>
      <c r="K145" t="e">
        <f t="shared" si="14"/>
        <v>#VALUE!</v>
      </c>
      <c r="L145">
        <f t="shared" si="12"/>
        <v>227</v>
      </c>
      <c r="M145" t="str">
        <f t="shared" si="13"/>
        <v/>
      </c>
      <c r="O145" t="s">
        <v>1991</v>
      </c>
    </row>
    <row r="146" spans="1:15" x14ac:dyDescent="0.35">
      <c r="A146" t="s">
        <v>1992</v>
      </c>
      <c r="B146" t="e">
        <f>SEARCH(B$1,$A146)</f>
        <v>#VALUE!</v>
      </c>
      <c r="C146" t="e">
        <f t="shared" si="14"/>
        <v>#VALUE!</v>
      </c>
      <c r="D146" t="e">
        <f t="shared" si="14"/>
        <v>#VALUE!</v>
      </c>
      <c r="E146" t="e">
        <f t="shared" si="14"/>
        <v>#VALUE!</v>
      </c>
      <c r="F146" t="e">
        <f t="shared" si="14"/>
        <v>#VALUE!</v>
      </c>
      <c r="G146" t="e">
        <f t="shared" si="14"/>
        <v>#VALUE!</v>
      </c>
      <c r="H146" t="e">
        <f t="shared" si="14"/>
        <v>#VALUE!</v>
      </c>
      <c r="I146" t="e">
        <f t="shared" si="14"/>
        <v>#VALUE!</v>
      </c>
      <c r="J146" t="e">
        <f t="shared" si="14"/>
        <v>#VALUE!</v>
      </c>
      <c r="K146" t="e">
        <f t="shared" si="14"/>
        <v>#VALUE!</v>
      </c>
      <c r="L146">
        <f t="shared" si="12"/>
        <v>0</v>
      </c>
      <c r="M146" t="str">
        <f t="shared" si="13"/>
        <v/>
      </c>
      <c r="O146" t="s">
        <v>1992</v>
      </c>
    </row>
    <row r="147" spans="1:15" x14ac:dyDescent="0.35">
      <c r="A147" t="s">
        <v>1993</v>
      </c>
      <c r="B147" t="e">
        <f>SEARCH(B$1,$A147)</f>
        <v>#VALUE!</v>
      </c>
      <c r="C147">
        <f t="shared" si="14"/>
        <v>125</v>
      </c>
      <c r="D147" t="e">
        <f t="shared" si="14"/>
        <v>#VALUE!</v>
      </c>
      <c r="E147" t="e">
        <f t="shared" si="14"/>
        <v>#VALUE!</v>
      </c>
      <c r="F147">
        <f t="shared" si="14"/>
        <v>124</v>
      </c>
      <c r="G147" t="e">
        <f t="shared" si="14"/>
        <v>#VALUE!</v>
      </c>
      <c r="H147">
        <f t="shared" si="14"/>
        <v>126</v>
      </c>
      <c r="I147" t="e">
        <f t="shared" si="14"/>
        <v>#VALUE!</v>
      </c>
      <c r="J147" t="e">
        <f t="shared" si="14"/>
        <v>#VALUE!</v>
      </c>
      <c r="K147" t="e">
        <f t="shared" si="14"/>
        <v>#VALUE!</v>
      </c>
      <c r="L147">
        <f t="shared" si="12"/>
        <v>375</v>
      </c>
      <c r="M147" t="str">
        <f t="shared" si="13"/>
        <v/>
      </c>
      <c r="O147" t="s">
        <v>1993</v>
      </c>
    </row>
    <row r="148" spans="1:15" x14ac:dyDescent="0.35">
      <c r="A148" t="s">
        <v>1994</v>
      </c>
      <c r="B148" t="e">
        <f>SEARCH(B$1,$A148)</f>
        <v>#VALUE!</v>
      </c>
      <c r="C148" t="e">
        <f t="shared" si="14"/>
        <v>#VALUE!</v>
      </c>
      <c r="D148" t="e">
        <f t="shared" si="14"/>
        <v>#VALUE!</v>
      </c>
      <c r="E148" t="e">
        <f t="shared" si="14"/>
        <v>#VALUE!</v>
      </c>
      <c r="F148" t="e">
        <f t="shared" si="14"/>
        <v>#VALUE!</v>
      </c>
      <c r="G148" t="e">
        <f t="shared" si="14"/>
        <v>#VALUE!</v>
      </c>
      <c r="H148" t="e">
        <f t="shared" si="14"/>
        <v>#VALUE!</v>
      </c>
      <c r="I148" t="e">
        <f t="shared" si="14"/>
        <v>#VALUE!</v>
      </c>
      <c r="J148" t="e">
        <f t="shared" si="14"/>
        <v>#VALUE!</v>
      </c>
      <c r="K148" t="e">
        <f t="shared" si="14"/>
        <v>#VALUE!</v>
      </c>
      <c r="L148">
        <f t="shared" si="12"/>
        <v>0</v>
      </c>
      <c r="M148" t="str">
        <f t="shared" si="13"/>
        <v/>
      </c>
      <c r="O148" t="s">
        <v>1994</v>
      </c>
    </row>
    <row r="149" spans="1:15" x14ac:dyDescent="0.35">
      <c r="A149" t="s">
        <v>1995</v>
      </c>
      <c r="B149" t="e">
        <f>SEARCH(B$1,$A149)</f>
        <v>#VALUE!</v>
      </c>
      <c r="C149" t="e">
        <f t="shared" si="14"/>
        <v>#VALUE!</v>
      </c>
      <c r="D149">
        <f t="shared" si="14"/>
        <v>172</v>
      </c>
      <c r="E149" t="e">
        <f t="shared" si="14"/>
        <v>#VALUE!</v>
      </c>
      <c r="F149">
        <f t="shared" si="14"/>
        <v>171</v>
      </c>
      <c r="G149" t="e">
        <f t="shared" si="14"/>
        <v>#VALUE!</v>
      </c>
      <c r="H149" t="e">
        <f t="shared" si="14"/>
        <v>#VALUE!</v>
      </c>
      <c r="I149" t="e">
        <f t="shared" si="14"/>
        <v>#VALUE!</v>
      </c>
      <c r="J149" t="e">
        <f t="shared" si="14"/>
        <v>#VALUE!</v>
      </c>
      <c r="K149" t="e">
        <f t="shared" si="14"/>
        <v>#VALUE!</v>
      </c>
      <c r="L149">
        <f t="shared" si="12"/>
        <v>343</v>
      </c>
      <c r="M149" t="str">
        <f t="shared" si="13"/>
        <v/>
      </c>
      <c r="O149" t="s">
        <v>1995</v>
      </c>
    </row>
    <row r="150" spans="1:15" x14ac:dyDescent="0.35">
      <c r="A150" t="s">
        <v>1996</v>
      </c>
      <c r="B150" t="e">
        <f>SEARCH(B$1,$A150)</f>
        <v>#VALUE!</v>
      </c>
      <c r="C150" t="e">
        <f t="shared" si="14"/>
        <v>#VALUE!</v>
      </c>
      <c r="D150" t="e">
        <f t="shared" si="14"/>
        <v>#VALUE!</v>
      </c>
      <c r="E150" t="e">
        <f t="shared" si="14"/>
        <v>#VALUE!</v>
      </c>
      <c r="F150" t="e">
        <f t="shared" si="14"/>
        <v>#VALUE!</v>
      </c>
      <c r="G150" t="e">
        <f t="shared" si="14"/>
        <v>#VALUE!</v>
      </c>
      <c r="H150" t="e">
        <f t="shared" si="14"/>
        <v>#VALUE!</v>
      </c>
      <c r="I150" t="e">
        <f t="shared" si="14"/>
        <v>#VALUE!</v>
      </c>
      <c r="J150" t="e">
        <f t="shared" si="14"/>
        <v>#VALUE!</v>
      </c>
      <c r="K150" t="e">
        <f t="shared" si="14"/>
        <v>#VALUE!</v>
      </c>
      <c r="L150">
        <f t="shared" si="12"/>
        <v>0</v>
      </c>
      <c r="M150" t="str">
        <f t="shared" si="13"/>
        <v/>
      </c>
      <c r="O150" t="s">
        <v>1996</v>
      </c>
    </row>
    <row r="151" spans="1:15" x14ac:dyDescent="0.35">
      <c r="A151" t="s">
        <v>1997</v>
      </c>
      <c r="B151" t="e">
        <f>SEARCH(B$1,$A151)</f>
        <v>#VALUE!</v>
      </c>
      <c r="C151" t="e">
        <f t="shared" si="14"/>
        <v>#VALUE!</v>
      </c>
      <c r="D151">
        <f t="shared" si="14"/>
        <v>114</v>
      </c>
      <c r="E151">
        <f t="shared" si="14"/>
        <v>113</v>
      </c>
      <c r="F151">
        <f t="shared" si="14"/>
        <v>112</v>
      </c>
      <c r="G151" t="e">
        <f t="shared" si="14"/>
        <v>#VALUE!</v>
      </c>
      <c r="H151" t="e">
        <f t="shared" si="14"/>
        <v>#VALUE!</v>
      </c>
      <c r="I151" t="e">
        <f t="shared" si="14"/>
        <v>#VALUE!</v>
      </c>
      <c r="J151" t="e">
        <f t="shared" si="14"/>
        <v>#VALUE!</v>
      </c>
      <c r="K151" t="e">
        <f t="shared" si="14"/>
        <v>#VALUE!</v>
      </c>
      <c r="L151">
        <f t="shared" si="12"/>
        <v>339</v>
      </c>
      <c r="M151" t="str">
        <f t="shared" si="13"/>
        <v/>
      </c>
      <c r="O151" t="s">
        <v>1997</v>
      </c>
    </row>
    <row r="152" spans="1:15" x14ac:dyDescent="0.35">
      <c r="A152" t="s">
        <v>1059</v>
      </c>
      <c r="B152" t="e">
        <f>SEARCH(B$1,$A152)</f>
        <v>#VALUE!</v>
      </c>
      <c r="C152" t="e">
        <f t="shared" si="14"/>
        <v>#VALUE!</v>
      </c>
      <c r="D152" t="e">
        <f t="shared" si="14"/>
        <v>#VALUE!</v>
      </c>
      <c r="E152" t="e">
        <f t="shared" si="14"/>
        <v>#VALUE!</v>
      </c>
      <c r="F152" t="e">
        <f t="shared" si="14"/>
        <v>#VALUE!</v>
      </c>
      <c r="G152" t="e">
        <f t="shared" si="14"/>
        <v>#VALUE!</v>
      </c>
      <c r="H152" t="e">
        <f t="shared" si="14"/>
        <v>#VALUE!</v>
      </c>
      <c r="I152" t="e">
        <f t="shared" si="14"/>
        <v>#VALUE!</v>
      </c>
      <c r="J152" t="e">
        <f t="shared" si="14"/>
        <v>#VALUE!</v>
      </c>
      <c r="K152" t="e">
        <f t="shared" si="14"/>
        <v>#VALUE!</v>
      </c>
      <c r="L152">
        <f t="shared" si="12"/>
        <v>0</v>
      </c>
      <c r="M152" t="str">
        <f t="shared" si="13"/>
        <v/>
      </c>
      <c r="O152" t="s">
        <v>1059</v>
      </c>
    </row>
    <row r="153" spans="1:15" x14ac:dyDescent="0.35">
      <c r="A153" t="s">
        <v>1998</v>
      </c>
      <c r="B153">
        <f>SEARCH(B$1,$A153)</f>
        <v>172</v>
      </c>
      <c r="C153" t="e">
        <f t="shared" si="14"/>
        <v>#VALUE!</v>
      </c>
      <c r="D153" t="e">
        <f t="shared" si="14"/>
        <v>#VALUE!</v>
      </c>
      <c r="E153" t="e">
        <f t="shared" si="14"/>
        <v>#VALUE!</v>
      </c>
      <c r="F153">
        <f t="shared" si="14"/>
        <v>170</v>
      </c>
      <c r="G153" t="e">
        <f t="shared" si="14"/>
        <v>#VALUE!</v>
      </c>
      <c r="H153" t="e">
        <f t="shared" si="14"/>
        <v>#VALUE!</v>
      </c>
      <c r="I153" t="e">
        <f t="shared" si="14"/>
        <v>#VALUE!</v>
      </c>
      <c r="J153" t="e">
        <f t="shared" si="14"/>
        <v>#VALUE!</v>
      </c>
      <c r="K153" t="e">
        <f t="shared" si="14"/>
        <v>#VALUE!</v>
      </c>
      <c r="L153">
        <f t="shared" si="12"/>
        <v>342</v>
      </c>
      <c r="M153" t="str">
        <f t="shared" si="13"/>
        <v/>
      </c>
      <c r="O153" t="s">
        <v>1998</v>
      </c>
    </row>
    <row r="154" spans="1:15" x14ac:dyDescent="0.35">
      <c r="A154" t="s">
        <v>1999</v>
      </c>
      <c r="B154" t="e">
        <f>SEARCH(B$1,$A154)</f>
        <v>#VALUE!</v>
      </c>
      <c r="C154" t="e">
        <f t="shared" si="14"/>
        <v>#VALUE!</v>
      </c>
      <c r="D154" t="e">
        <f t="shared" si="14"/>
        <v>#VALUE!</v>
      </c>
      <c r="E154" t="e">
        <f t="shared" si="14"/>
        <v>#VALUE!</v>
      </c>
      <c r="F154" t="e">
        <f t="shared" si="14"/>
        <v>#VALUE!</v>
      </c>
      <c r="G154" t="e">
        <f t="shared" si="14"/>
        <v>#VALUE!</v>
      </c>
      <c r="H154" t="e">
        <f t="shared" si="14"/>
        <v>#VALUE!</v>
      </c>
      <c r="I154" t="e">
        <f t="shared" si="14"/>
        <v>#VALUE!</v>
      </c>
      <c r="J154" t="e">
        <f t="shared" si="14"/>
        <v>#VALUE!</v>
      </c>
      <c r="K154" t="e">
        <f t="shared" si="14"/>
        <v>#VALUE!</v>
      </c>
      <c r="L154">
        <f t="shared" si="12"/>
        <v>0</v>
      </c>
      <c r="M154" t="str">
        <f t="shared" si="13"/>
        <v/>
      </c>
      <c r="O154" t="s">
        <v>1999</v>
      </c>
    </row>
    <row r="155" spans="1:15" x14ac:dyDescent="0.35">
      <c r="A155" t="s">
        <v>2000</v>
      </c>
      <c r="B155" t="e">
        <f>SEARCH(B$1,$A155)</f>
        <v>#VALUE!</v>
      </c>
      <c r="C155" t="e">
        <f t="shared" si="14"/>
        <v>#VALUE!</v>
      </c>
      <c r="D155" t="e">
        <f t="shared" si="14"/>
        <v>#VALUE!</v>
      </c>
      <c r="E155" t="e">
        <f t="shared" si="14"/>
        <v>#VALUE!</v>
      </c>
      <c r="F155">
        <f t="shared" si="14"/>
        <v>123</v>
      </c>
      <c r="G155" t="e">
        <f t="shared" si="14"/>
        <v>#VALUE!</v>
      </c>
      <c r="H155" t="e">
        <f t="shared" si="14"/>
        <v>#VALUE!</v>
      </c>
      <c r="I155" t="e">
        <f t="shared" si="14"/>
        <v>#VALUE!</v>
      </c>
      <c r="J155">
        <f t="shared" si="14"/>
        <v>125</v>
      </c>
      <c r="K155" t="e">
        <f t="shared" si="14"/>
        <v>#VALUE!</v>
      </c>
      <c r="L155">
        <f t="shared" si="12"/>
        <v>248</v>
      </c>
      <c r="M155" t="str">
        <f t="shared" si="13"/>
        <v/>
      </c>
      <c r="O155" t="s">
        <v>2000</v>
      </c>
    </row>
    <row r="156" spans="1:15" x14ac:dyDescent="0.35">
      <c r="A156" t="s">
        <v>2001</v>
      </c>
      <c r="B156" t="e">
        <f>SEARCH(B$1,$A156)</f>
        <v>#VALUE!</v>
      </c>
      <c r="C156" t="e">
        <f t="shared" si="14"/>
        <v>#VALUE!</v>
      </c>
      <c r="D156" t="e">
        <f t="shared" si="14"/>
        <v>#VALUE!</v>
      </c>
      <c r="E156" t="e">
        <f t="shared" si="14"/>
        <v>#VALUE!</v>
      </c>
      <c r="F156" t="e">
        <f t="shared" si="14"/>
        <v>#VALUE!</v>
      </c>
      <c r="G156" t="e">
        <f t="shared" si="14"/>
        <v>#VALUE!</v>
      </c>
      <c r="H156" t="e">
        <f t="shared" si="14"/>
        <v>#VALUE!</v>
      </c>
      <c r="I156" t="e">
        <f t="shared" si="14"/>
        <v>#VALUE!</v>
      </c>
      <c r="J156" t="e">
        <f t="shared" si="14"/>
        <v>#VALUE!</v>
      </c>
      <c r="K156" t="e">
        <f t="shared" si="14"/>
        <v>#VALUE!</v>
      </c>
      <c r="L156">
        <f t="shared" si="12"/>
        <v>0</v>
      </c>
      <c r="M156" t="str">
        <f t="shared" si="13"/>
        <v/>
      </c>
      <c r="O156" t="s">
        <v>2001</v>
      </c>
    </row>
    <row r="157" spans="1:15" x14ac:dyDescent="0.35">
      <c r="A157" t="s">
        <v>2002</v>
      </c>
      <c r="B157" t="e">
        <f>SEARCH(B$1,$A157)</f>
        <v>#VALUE!</v>
      </c>
      <c r="C157" t="e">
        <f t="shared" si="14"/>
        <v>#VALUE!</v>
      </c>
      <c r="D157" t="e">
        <f t="shared" si="14"/>
        <v>#VALUE!</v>
      </c>
      <c r="E157" t="e">
        <f t="shared" si="14"/>
        <v>#VALUE!</v>
      </c>
      <c r="F157" t="e">
        <f t="shared" si="14"/>
        <v>#VALUE!</v>
      </c>
      <c r="G157" t="e">
        <f t="shared" si="14"/>
        <v>#VALUE!</v>
      </c>
      <c r="H157" t="e">
        <f t="shared" si="14"/>
        <v>#VALUE!</v>
      </c>
      <c r="I157" t="e">
        <f t="shared" si="14"/>
        <v>#VALUE!</v>
      </c>
      <c r="J157" t="e">
        <f t="shared" si="14"/>
        <v>#VALUE!</v>
      </c>
      <c r="K157" t="e">
        <f t="shared" si="14"/>
        <v>#VALUE!</v>
      </c>
      <c r="L157">
        <f t="shared" si="12"/>
        <v>0</v>
      </c>
      <c r="M157" t="str">
        <f t="shared" si="13"/>
        <v>DNN Architecture for High Performance Prediction on Natural Videos Loses Submodule’s Ability to Learn Discrete-World Dataset . . . . . . . . . . . . . . . . . . . . . . . . . . . . . . . . . . . . . . . . . . . . . . . . . . . . . . . . . . . . . . . . . . . . . . . . . 454</v>
      </c>
      <c r="O157" t="s">
        <v>2100</v>
      </c>
    </row>
    <row r="158" spans="1:15" x14ac:dyDescent="0.35">
      <c r="A158" t="s">
        <v>2003</v>
      </c>
      <c r="B158" t="e">
        <f>SEARCH(B$1,$A158)</f>
        <v>#VALUE!</v>
      </c>
      <c r="C158" t="e">
        <f t="shared" si="14"/>
        <v>#VALUE!</v>
      </c>
      <c r="D158" t="e">
        <f t="shared" si="14"/>
        <v>#VALUE!</v>
      </c>
      <c r="E158" t="e">
        <f t="shared" si="14"/>
        <v>#VALUE!</v>
      </c>
      <c r="F158">
        <f t="shared" si="14"/>
        <v>176</v>
      </c>
      <c r="G158">
        <f t="shared" si="14"/>
        <v>177</v>
      </c>
      <c r="H158" t="e">
        <f t="shared" si="14"/>
        <v>#VALUE!</v>
      </c>
      <c r="I158" t="e">
        <f t="shared" si="14"/>
        <v>#VALUE!</v>
      </c>
      <c r="J158" t="e">
        <f t="shared" si="14"/>
        <v>#VALUE!</v>
      </c>
      <c r="K158" t="e">
        <f t="shared" si="14"/>
        <v>#VALUE!</v>
      </c>
      <c r="L158">
        <f t="shared" si="12"/>
        <v>353</v>
      </c>
      <c r="M158" t="str">
        <f t="shared" si="13"/>
        <v/>
      </c>
    </row>
    <row r="159" spans="1:15" x14ac:dyDescent="0.35">
      <c r="A159" t="s">
        <v>2004</v>
      </c>
      <c r="B159" t="e">
        <f>SEARCH(B$1,$A159)</f>
        <v>#VALUE!</v>
      </c>
      <c r="C159" t="e">
        <f t="shared" si="14"/>
        <v>#VALUE!</v>
      </c>
      <c r="D159" t="e">
        <f t="shared" si="14"/>
        <v>#VALUE!</v>
      </c>
      <c r="E159" t="e">
        <f t="shared" si="14"/>
        <v>#VALUE!</v>
      </c>
      <c r="F159" t="e">
        <f t="shared" si="14"/>
        <v>#VALUE!</v>
      </c>
      <c r="G159" t="e">
        <f t="shared" si="14"/>
        <v>#VALUE!</v>
      </c>
      <c r="H159" t="e">
        <f t="shared" si="14"/>
        <v>#VALUE!</v>
      </c>
      <c r="I159" t="e">
        <f t="shared" si="14"/>
        <v>#VALUE!</v>
      </c>
      <c r="J159" t="e">
        <f t="shared" si="14"/>
        <v>#VALUE!</v>
      </c>
      <c r="K159" t="e">
        <f t="shared" si="14"/>
        <v>#VALUE!</v>
      </c>
      <c r="L159">
        <f t="shared" si="12"/>
        <v>0</v>
      </c>
      <c r="M159" t="str">
        <f t="shared" si="13"/>
        <v/>
      </c>
      <c r="O159" t="s">
        <v>2004</v>
      </c>
    </row>
    <row r="160" spans="1:15" x14ac:dyDescent="0.35">
      <c r="A160" t="s">
        <v>2005</v>
      </c>
      <c r="B160" t="e">
        <f>SEARCH(B$1,$A160)</f>
        <v>#VALUE!</v>
      </c>
      <c r="C160">
        <f t="shared" si="14"/>
        <v>122</v>
      </c>
      <c r="D160" t="e">
        <f t="shared" si="14"/>
        <v>#VALUE!</v>
      </c>
      <c r="E160" t="e">
        <f t="shared" si="14"/>
        <v>#VALUE!</v>
      </c>
      <c r="F160">
        <f t="shared" si="14"/>
        <v>120</v>
      </c>
      <c r="G160" t="e">
        <f t="shared" si="14"/>
        <v>#VALUE!</v>
      </c>
      <c r="H160">
        <f t="shared" si="14"/>
        <v>121</v>
      </c>
      <c r="I160" t="e">
        <f t="shared" si="14"/>
        <v>#VALUE!</v>
      </c>
      <c r="J160" t="e">
        <f t="shared" si="14"/>
        <v>#VALUE!</v>
      </c>
      <c r="K160" t="e">
        <f t="shared" si="14"/>
        <v>#VALUE!</v>
      </c>
      <c r="L160">
        <f t="shared" si="12"/>
        <v>363</v>
      </c>
      <c r="M160" t="str">
        <f t="shared" si="13"/>
        <v/>
      </c>
      <c r="O160" t="s">
        <v>2005</v>
      </c>
    </row>
    <row r="161" spans="1:15" x14ac:dyDescent="0.35">
      <c r="A161" t="s">
        <v>177</v>
      </c>
      <c r="B161" t="e">
        <f>SEARCH(B$1,$A161)</f>
        <v>#VALUE!</v>
      </c>
      <c r="C161" t="e">
        <f t="shared" si="14"/>
        <v>#VALUE!</v>
      </c>
      <c r="D161" t="e">
        <f t="shared" si="14"/>
        <v>#VALUE!</v>
      </c>
      <c r="E161" t="e">
        <f t="shared" si="14"/>
        <v>#VALUE!</v>
      </c>
      <c r="F161" t="e">
        <f t="shared" si="14"/>
        <v>#VALUE!</v>
      </c>
      <c r="G161" t="e">
        <f t="shared" si="14"/>
        <v>#VALUE!</v>
      </c>
      <c r="H161" t="e">
        <f t="shared" si="14"/>
        <v>#VALUE!</v>
      </c>
      <c r="I161" t="e">
        <f t="shared" si="14"/>
        <v>#VALUE!</v>
      </c>
      <c r="J161" t="e">
        <f t="shared" si="14"/>
        <v>#VALUE!</v>
      </c>
      <c r="K161" t="e">
        <f t="shared" si="14"/>
        <v>#VALUE!</v>
      </c>
      <c r="L161">
        <f t="shared" si="12"/>
        <v>0</v>
      </c>
      <c r="M161" t="str">
        <f t="shared" si="13"/>
        <v/>
      </c>
      <c r="O161" t="s">
        <v>177</v>
      </c>
    </row>
    <row r="162" spans="1:15" x14ac:dyDescent="0.35">
      <c r="A162" t="s">
        <v>2006</v>
      </c>
      <c r="B162" t="e">
        <f>SEARCH(B$1,$A162)</f>
        <v>#VALUE!</v>
      </c>
      <c r="C162" t="e">
        <f t="shared" si="14"/>
        <v>#VALUE!</v>
      </c>
      <c r="D162" t="e">
        <f t="shared" si="14"/>
        <v>#VALUE!</v>
      </c>
      <c r="E162" t="e">
        <f t="shared" si="14"/>
        <v>#VALUE!</v>
      </c>
      <c r="F162" t="e">
        <f t="shared" si="14"/>
        <v>#VALUE!</v>
      </c>
      <c r="G162" t="e">
        <f t="shared" si="14"/>
        <v>#VALUE!</v>
      </c>
      <c r="H162" t="e">
        <f t="shared" si="14"/>
        <v>#VALUE!</v>
      </c>
      <c r="I162" t="e">
        <f t="shared" si="14"/>
        <v>#VALUE!</v>
      </c>
      <c r="J162" t="e">
        <f t="shared" si="14"/>
        <v>#VALUE!</v>
      </c>
      <c r="K162" t="e">
        <f t="shared" si="14"/>
        <v>#VALUE!</v>
      </c>
      <c r="L162">
        <f t="shared" si="12"/>
        <v>0</v>
      </c>
      <c r="M162" t="str">
        <f t="shared" si="13"/>
        <v>Robotic models of obstacle avoidance in bats: assessing the benefit of acoustic gaze scanning in complex environments . . . . . . . . . . . . . . . . . . . . . . . . . . . . . . . . . . . . . . . . . . . . . . . . . . . . . . . . . . . . . . . . . . . . . . . . . . . . . . . . . 463</v>
      </c>
      <c r="O162" t="s">
        <v>2101</v>
      </c>
    </row>
    <row r="163" spans="1:15" x14ac:dyDescent="0.35">
      <c r="A163" t="s">
        <v>2007</v>
      </c>
      <c r="B163" t="e">
        <f>SEARCH(B$1,$A163)</f>
        <v>#VALUE!</v>
      </c>
      <c r="C163" t="e">
        <f t="shared" si="14"/>
        <v>#VALUE!</v>
      </c>
      <c r="D163" t="e">
        <f t="shared" si="14"/>
        <v>#VALUE!</v>
      </c>
      <c r="E163">
        <f t="shared" si="14"/>
        <v>186</v>
      </c>
      <c r="F163">
        <f t="shared" si="14"/>
        <v>184</v>
      </c>
      <c r="G163" t="e">
        <f t="shared" si="14"/>
        <v>#VALUE!</v>
      </c>
      <c r="H163">
        <f t="shared" si="14"/>
        <v>185</v>
      </c>
      <c r="I163" t="e">
        <f t="shared" si="14"/>
        <v>#VALUE!</v>
      </c>
      <c r="J163" t="e">
        <f t="shared" si="14"/>
        <v>#VALUE!</v>
      </c>
      <c r="K163" t="e">
        <f t="shared" si="14"/>
        <v>#VALUE!</v>
      </c>
      <c r="L163">
        <f t="shared" si="12"/>
        <v>555</v>
      </c>
      <c r="M163" t="str">
        <f t="shared" si="13"/>
        <v/>
      </c>
    </row>
    <row r="164" spans="1:15" x14ac:dyDescent="0.35">
      <c r="A164" t="s">
        <v>2008</v>
      </c>
      <c r="B164" t="e">
        <f>SEARCH(B$1,$A164)</f>
        <v>#VALUE!</v>
      </c>
      <c r="C164" t="e">
        <f t="shared" si="14"/>
        <v>#VALUE!</v>
      </c>
      <c r="D164" t="e">
        <f t="shared" si="14"/>
        <v>#VALUE!</v>
      </c>
      <c r="E164" t="e">
        <f t="shared" si="14"/>
        <v>#VALUE!</v>
      </c>
      <c r="F164" t="e">
        <f t="shared" si="14"/>
        <v>#VALUE!</v>
      </c>
      <c r="G164" t="e">
        <f t="shared" si="14"/>
        <v>#VALUE!</v>
      </c>
      <c r="H164" t="e">
        <f t="shared" si="14"/>
        <v>#VALUE!</v>
      </c>
      <c r="I164" t="e">
        <f t="shared" si="14"/>
        <v>#VALUE!</v>
      </c>
      <c r="J164" t="e">
        <f t="shared" si="14"/>
        <v>#VALUE!</v>
      </c>
      <c r="K164" t="e">
        <f t="shared" si="14"/>
        <v>#VALUE!</v>
      </c>
      <c r="L164">
        <f t="shared" si="12"/>
        <v>0</v>
      </c>
      <c r="M164" t="str">
        <f t="shared" si="13"/>
        <v/>
      </c>
      <c r="N164" t="str">
        <f>_xlfn.CONCAT(A164," ",A165)</f>
        <v>Carl Bou Mansour, Elijah Koreman, Dennis Laurijssen, Jan Steckel, Herbert Peremans and Dieter Vanderelst</v>
      </c>
      <c r="O164" t="s">
        <v>2102</v>
      </c>
    </row>
    <row r="165" spans="1:15" x14ac:dyDescent="0.35">
      <c r="A165" t="s">
        <v>2009</v>
      </c>
      <c r="B165" t="e">
        <f>SEARCH(B$1,$A165)</f>
        <v>#VALUE!</v>
      </c>
      <c r="C165" t="e">
        <f t="shared" si="14"/>
        <v>#VALUE!</v>
      </c>
      <c r="D165" t="e">
        <f t="shared" si="14"/>
        <v>#VALUE!</v>
      </c>
      <c r="E165" t="e">
        <f t="shared" si="14"/>
        <v>#VALUE!</v>
      </c>
      <c r="F165" t="e">
        <f t="shared" si="14"/>
        <v>#VALUE!</v>
      </c>
      <c r="G165" t="e">
        <f t="shared" si="14"/>
        <v>#VALUE!</v>
      </c>
      <c r="H165" t="e">
        <f t="shared" si="14"/>
        <v>#VALUE!</v>
      </c>
      <c r="I165" t="e">
        <f t="shared" si="14"/>
        <v>#VALUE!</v>
      </c>
      <c r="J165" t="e">
        <f t="shared" si="14"/>
        <v>#VALUE!</v>
      </c>
      <c r="K165" t="e">
        <f t="shared" si="14"/>
        <v>#VALUE!</v>
      </c>
      <c r="L165">
        <f t="shared" si="12"/>
        <v>0</v>
      </c>
    </row>
    <row r="166" spans="1:15" x14ac:dyDescent="0.35">
      <c r="A166" t="s">
        <v>2010</v>
      </c>
      <c r="B166" t="e">
        <f>SEARCH(B$1,$A166)</f>
        <v>#VALUE!</v>
      </c>
      <c r="C166" t="e">
        <f t="shared" si="14"/>
        <v>#VALUE!</v>
      </c>
      <c r="D166" t="e">
        <f t="shared" si="14"/>
        <v>#VALUE!</v>
      </c>
      <c r="E166" t="e">
        <f t="shared" si="14"/>
        <v>#VALUE!</v>
      </c>
      <c r="F166">
        <f t="shared" si="14"/>
        <v>169</v>
      </c>
      <c r="G166">
        <f t="shared" si="14"/>
        <v>171</v>
      </c>
      <c r="H166">
        <f t="shared" si="14"/>
        <v>170</v>
      </c>
      <c r="I166" t="e">
        <f t="shared" si="14"/>
        <v>#VALUE!</v>
      </c>
      <c r="J166" t="e">
        <f t="shared" si="14"/>
        <v>#VALUE!</v>
      </c>
      <c r="K166" t="e">
        <f t="shared" si="14"/>
        <v>#VALUE!</v>
      </c>
      <c r="L166">
        <f t="shared" si="12"/>
        <v>510</v>
      </c>
      <c r="M166" t="str">
        <f t="shared" si="13"/>
        <v/>
      </c>
      <c r="O166" t="s">
        <v>2010</v>
      </c>
    </row>
    <row r="167" spans="1:15" x14ac:dyDescent="0.35">
      <c r="A167" t="s">
        <v>2011</v>
      </c>
      <c r="B167" t="e">
        <f>SEARCH(B$1,$A167)</f>
        <v>#VALUE!</v>
      </c>
      <c r="C167" t="e">
        <f t="shared" si="14"/>
        <v>#VALUE!</v>
      </c>
      <c r="D167" t="e">
        <f t="shared" si="14"/>
        <v>#VALUE!</v>
      </c>
      <c r="E167" t="e">
        <f t="shared" si="14"/>
        <v>#VALUE!</v>
      </c>
      <c r="F167" t="e">
        <f t="shared" si="14"/>
        <v>#VALUE!</v>
      </c>
      <c r="G167" t="e">
        <f t="shared" si="14"/>
        <v>#VALUE!</v>
      </c>
      <c r="H167" t="e">
        <f t="shared" si="14"/>
        <v>#VALUE!</v>
      </c>
      <c r="I167" t="e">
        <f t="shared" si="14"/>
        <v>#VALUE!</v>
      </c>
      <c r="J167" t="e">
        <f t="shared" si="14"/>
        <v>#VALUE!</v>
      </c>
      <c r="K167" t="e">
        <f t="shared" si="14"/>
        <v>#VALUE!</v>
      </c>
      <c r="L167">
        <f t="shared" si="12"/>
        <v>0</v>
      </c>
      <c r="M167" t="str">
        <f t="shared" si="13"/>
        <v/>
      </c>
      <c r="N167" t="str">
        <f>_xlfn.CONCAT(A167," ",A168)</f>
        <v>Vadim Bulitko, Kacy Doucet, Daniel Evans, Hope Docking, Mac Walters, Marilene Oliver, Julian Chow, Shelby Carleton and Natali Kendal-Freedman</v>
      </c>
      <c r="O167" t="s">
        <v>2103</v>
      </c>
    </row>
    <row r="168" spans="1:15" x14ac:dyDescent="0.35">
      <c r="A168" t="s">
        <v>2012</v>
      </c>
      <c r="B168" t="e">
        <f>SEARCH(B$1,$A168)</f>
        <v>#VALUE!</v>
      </c>
      <c r="C168" t="e">
        <f t="shared" si="14"/>
        <v>#VALUE!</v>
      </c>
      <c r="D168" t="e">
        <f t="shared" si="14"/>
        <v>#VALUE!</v>
      </c>
      <c r="E168" t="e">
        <f t="shared" si="14"/>
        <v>#VALUE!</v>
      </c>
      <c r="F168" t="e">
        <f t="shared" si="14"/>
        <v>#VALUE!</v>
      </c>
      <c r="G168" t="e">
        <f t="shared" si="14"/>
        <v>#VALUE!</v>
      </c>
      <c r="H168" t="e">
        <f t="shared" si="14"/>
        <v>#VALUE!</v>
      </c>
      <c r="I168" t="e">
        <f t="shared" si="14"/>
        <v>#VALUE!</v>
      </c>
      <c r="J168" t="e">
        <f t="shared" si="14"/>
        <v>#VALUE!</v>
      </c>
      <c r="K168" t="e">
        <f t="shared" si="14"/>
        <v>#VALUE!</v>
      </c>
      <c r="L168">
        <f t="shared" si="12"/>
        <v>0</v>
      </c>
    </row>
    <row r="169" spans="1:15" x14ac:dyDescent="0.35">
      <c r="A169" t="s">
        <v>2013</v>
      </c>
      <c r="B169" t="e">
        <f>SEARCH(B$1,$A169)</f>
        <v>#VALUE!</v>
      </c>
      <c r="C169" t="e">
        <f t="shared" si="14"/>
        <v>#VALUE!</v>
      </c>
      <c r="D169" t="e">
        <f t="shared" si="14"/>
        <v>#VALUE!</v>
      </c>
      <c r="E169" t="e">
        <f t="shared" si="14"/>
        <v>#VALUE!</v>
      </c>
      <c r="F169">
        <f t="shared" si="14"/>
        <v>135</v>
      </c>
      <c r="G169" t="e">
        <f t="shared" si="14"/>
        <v>#VALUE!</v>
      </c>
      <c r="H169">
        <f t="shared" si="14"/>
        <v>136</v>
      </c>
      <c r="I169">
        <f t="shared" si="14"/>
        <v>137</v>
      </c>
      <c r="J169" t="e">
        <f t="shared" si="14"/>
        <v>#VALUE!</v>
      </c>
      <c r="K169" t="e">
        <f t="shared" si="14"/>
        <v>#VALUE!</v>
      </c>
      <c r="L169">
        <f t="shared" si="12"/>
        <v>408</v>
      </c>
      <c r="M169" t="str">
        <f t="shared" si="13"/>
        <v/>
      </c>
      <c r="O169" t="s">
        <v>2013</v>
      </c>
    </row>
    <row r="170" spans="1:15" x14ac:dyDescent="0.35">
      <c r="A170" t="s">
        <v>2014</v>
      </c>
      <c r="B170" t="e">
        <f>SEARCH(B$1,$A170)</f>
        <v>#VALUE!</v>
      </c>
      <c r="C170" t="e">
        <f t="shared" si="14"/>
        <v>#VALUE!</v>
      </c>
      <c r="D170" t="e">
        <f t="shared" si="14"/>
        <v>#VALUE!</v>
      </c>
      <c r="E170" t="e">
        <f t="shared" si="14"/>
        <v>#VALUE!</v>
      </c>
      <c r="F170" t="e">
        <f t="shared" si="14"/>
        <v>#VALUE!</v>
      </c>
      <c r="G170" t="e">
        <f t="shared" si="14"/>
        <v>#VALUE!</v>
      </c>
      <c r="H170" t="e">
        <f t="shared" si="14"/>
        <v>#VALUE!</v>
      </c>
      <c r="I170" t="e">
        <f t="shared" si="14"/>
        <v>#VALUE!</v>
      </c>
      <c r="J170" t="e">
        <f t="shared" si="14"/>
        <v>#VALUE!</v>
      </c>
      <c r="K170" t="e">
        <f t="shared" si="14"/>
        <v>#VALUE!</v>
      </c>
      <c r="L170">
        <f t="shared" si="12"/>
        <v>0</v>
      </c>
      <c r="M170" t="str">
        <f t="shared" si="13"/>
        <v/>
      </c>
      <c r="O170" t="s">
        <v>2014</v>
      </c>
    </row>
    <row r="171" spans="1:15" x14ac:dyDescent="0.35">
      <c r="A171" t="s">
        <v>2015</v>
      </c>
      <c r="B171" t="e">
        <f>SEARCH(B$1,$A171)</f>
        <v>#VALUE!</v>
      </c>
      <c r="C171" t="e">
        <f t="shared" si="14"/>
        <v>#VALUE!</v>
      </c>
      <c r="D171" t="e">
        <f t="shared" si="14"/>
        <v>#VALUE!</v>
      </c>
      <c r="E171" t="e">
        <f t="shared" si="14"/>
        <v>#VALUE!</v>
      </c>
      <c r="F171" t="e">
        <f t="shared" si="14"/>
        <v>#VALUE!</v>
      </c>
      <c r="G171" t="e">
        <f t="shared" si="14"/>
        <v>#VALUE!</v>
      </c>
      <c r="H171" t="e">
        <f t="shared" si="14"/>
        <v>#VALUE!</v>
      </c>
      <c r="I171" t="e">
        <f t="shared" si="14"/>
        <v>#VALUE!</v>
      </c>
      <c r="J171" t="e">
        <f t="shared" si="14"/>
        <v>#VALUE!</v>
      </c>
      <c r="K171" t="e">
        <f t="shared" si="14"/>
        <v>#VALUE!</v>
      </c>
      <c r="L171">
        <f t="shared" si="12"/>
        <v>0</v>
      </c>
      <c r="M171" t="str">
        <f t="shared" si="13"/>
        <v>Effects of Visual Sensory Range on the Emergence of Cognition in Early Terrestrial Vertebrates: An Agent-Based Modeling Approach . . . . . . . . . . . . . . . . . . . . . . . . . . . . . . . . . . . . . . . . . . . . . . . . . . . . . . . . . . . . . . . . . . . . . . 475</v>
      </c>
      <c r="O171" t="s">
        <v>2104</v>
      </c>
    </row>
    <row r="172" spans="1:15" x14ac:dyDescent="0.35">
      <c r="A172" t="s">
        <v>2016</v>
      </c>
      <c r="B172" t="e">
        <f>SEARCH(B$1,$A172)</f>
        <v>#VALUE!</v>
      </c>
      <c r="C172" t="e">
        <f t="shared" si="14"/>
        <v>#VALUE!</v>
      </c>
      <c r="D172" t="e">
        <f t="shared" si="14"/>
        <v>#VALUE!</v>
      </c>
      <c r="E172" t="e">
        <f t="shared" si="14"/>
        <v>#VALUE!</v>
      </c>
      <c r="F172">
        <f t="shared" si="14"/>
        <v>171</v>
      </c>
      <c r="G172">
        <f t="shared" si="14"/>
        <v>173</v>
      </c>
      <c r="H172" t="e">
        <f t="shared" si="14"/>
        <v>#VALUE!</v>
      </c>
      <c r="I172">
        <f t="shared" si="14"/>
        <v>172</v>
      </c>
      <c r="J172" t="e">
        <f t="shared" si="14"/>
        <v>#VALUE!</v>
      </c>
      <c r="K172" t="e">
        <f t="shared" si="14"/>
        <v>#VALUE!</v>
      </c>
      <c r="L172">
        <f t="shared" si="12"/>
        <v>516</v>
      </c>
      <c r="M172" t="str">
        <f t="shared" si="13"/>
        <v/>
      </c>
    </row>
    <row r="173" spans="1:15" x14ac:dyDescent="0.35">
      <c r="A173" t="s">
        <v>2017</v>
      </c>
      <c r="B173" t="e">
        <f>SEARCH(B$1,$A173)</f>
        <v>#VALUE!</v>
      </c>
      <c r="C173" t="e">
        <f t="shared" si="14"/>
        <v>#VALUE!</v>
      </c>
      <c r="D173" t="e">
        <f t="shared" si="14"/>
        <v>#VALUE!</v>
      </c>
      <c r="E173" t="e">
        <f t="shared" si="14"/>
        <v>#VALUE!</v>
      </c>
      <c r="F173" t="e">
        <f t="shared" si="14"/>
        <v>#VALUE!</v>
      </c>
      <c r="G173" t="e">
        <f t="shared" si="14"/>
        <v>#VALUE!</v>
      </c>
      <c r="H173" t="e">
        <f t="shared" si="14"/>
        <v>#VALUE!</v>
      </c>
      <c r="I173" t="e">
        <f t="shared" si="14"/>
        <v>#VALUE!</v>
      </c>
      <c r="J173" t="e">
        <f>SEARCH(J$1,$A173)</f>
        <v>#VALUE!</v>
      </c>
      <c r="K173" t="e">
        <f>SEARCH(K$1,$A173)</f>
        <v>#VALUE!</v>
      </c>
      <c r="L173">
        <f t="shared" si="12"/>
        <v>0</v>
      </c>
      <c r="M173" t="str">
        <f t="shared" si="13"/>
        <v/>
      </c>
      <c r="O173" t="s">
        <v>2017</v>
      </c>
    </row>
    <row r="174" spans="1:15" x14ac:dyDescent="0.35">
      <c r="A174" t="s">
        <v>2018</v>
      </c>
      <c r="B174" t="e">
        <f>SEARCH(B$1,$A174)</f>
        <v>#VALUE!</v>
      </c>
      <c r="C174" t="e">
        <f>SEARCH(C$1,$A174)</f>
        <v>#VALUE!</v>
      </c>
      <c r="D174" t="e">
        <f>SEARCH(D$1,$A174)</f>
        <v>#VALUE!</v>
      </c>
      <c r="E174" t="e">
        <f>SEARCH(E$1,$A174)</f>
        <v>#VALUE!</v>
      </c>
      <c r="F174" t="e">
        <f>SEARCH(F$1,$A174)</f>
        <v>#VALUE!</v>
      </c>
      <c r="G174" t="e">
        <f>SEARCH(G$1,$A174)</f>
        <v>#VALUE!</v>
      </c>
      <c r="H174" t="e">
        <f>SEARCH(H$1,$A174)</f>
        <v>#VALUE!</v>
      </c>
      <c r="I174" t="e">
        <f>SEARCH(I$1,$A174)</f>
        <v>#VALUE!</v>
      </c>
      <c r="J174" t="e">
        <f>SEARCH(J$1,$A174)</f>
        <v>#VALUE!</v>
      </c>
      <c r="K174" t="e">
        <f>SEARCH(K$1,$A174)</f>
        <v>#VALUE!</v>
      </c>
      <c r="L174">
        <f t="shared" si="12"/>
        <v>0</v>
      </c>
      <c r="M174" t="str">
        <f t="shared" si="13"/>
        <v>When is an action caused from within? Quantifying the causal chain leading to actions in simulated agents . . . . . . . . . . . . . . . . . . . . . . . . . . . . . . . . . . . . . . . . . . . . . . . . . . . . . . . . . . . . . . . . . . . . . . . . . . . . . . . . . . . . . . . . . . . . . . . . 477</v>
      </c>
      <c r="O174" t="s">
        <v>2105</v>
      </c>
    </row>
    <row r="175" spans="1:15" x14ac:dyDescent="0.35">
      <c r="A175" t="s">
        <v>2019</v>
      </c>
      <c r="B175" t="e">
        <f>SEARCH(B$1,$A175)</f>
        <v>#VALUE!</v>
      </c>
      <c r="C175" t="e">
        <f>SEARCH(C$1,$A175)</f>
        <v>#VALUE!</v>
      </c>
      <c r="D175" t="e">
        <f>SEARCH(D$1,$A175)</f>
        <v>#VALUE!</v>
      </c>
      <c r="E175" t="e">
        <f>SEARCH(E$1,$A175)</f>
        <v>#VALUE!</v>
      </c>
      <c r="F175">
        <f>SEARCH(F$1,$A175)</f>
        <v>200</v>
      </c>
      <c r="G175" t="e">
        <f>SEARCH(G$1,$A175)</f>
        <v>#VALUE!</v>
      </c>
      <c r="H175" t="e">
        <f>SEARCH(H$1,$A175)</f>
        <v>#VALUE!</v>
      </c>
      <c r="I175">
        <f>SEARCH(I$1,$A175)</f>
        <v>201</v>
      </c>
      <c r="J175" t="e">
        <f>SEARCH(J$1,$A175)</f>
        <v>#VALUE!</v>
      </c>
      <c r="K175" t="e">
        <f>SEARCH(K$1,$A175)</f>
        <v>#VALUE!</v>
      </c>
      <c r="L175">
        <f t="shared" si="12"/>
        <v>401</v>
      </c>
      <c r="M175" t="str">
        <f t="shared" si="13"/>
        <v/>
      </c>
    </row>
    <row r="176" spans="1:15" x14ac:dyDescent="0.35">
      <c r="A176" t="s">
        <v>2020</v>
      </c>
      <c r="B176" t="e">
        <f>SEARCH(B$1,$A176)</f>
        <v>#VALUE!</v>
      </c>
      <c r="C176" t="e">
        <f>SEARCH(C$1,$A176)</f>
        <v>#VALUE!</v>
      </c>
      <c r="D176" t="e">
        <f>SEARCH(D$1,$A176)</f>
        <v>#VALUE!</v>
      </c>
      <c r="E176" t="e">
        <f>SEARCH(E$1,$A176)</f>
        <v>#VALUE!</v>
      </c>
      <c r="F176" t="e">
        <f>SEARCH(F$1,$A176)</f>
        <v>#VALUE!</v>
      </c>
      <c r="G176" t="e">
        <f>SEARCH(G$1,$A176)</f>
        <v>#VALUE!</v>
      </c>
      <c r="H176" t="e">
        <f>SEARCH(H$1,$A176)</f>
        <v>#VALUE!</v>
      </c>
      <c r="I176" t="e">
        <f>SEARCH(I$1,$A176)</f>
        <v>#VALUE!</v>
      </c>
      <c r="J176" t="e">
        <f>SEARCH(J$1,$A176)</f>
        <v>#VALUE!</v>
      </c>
      <c r="K176" t="e">
        <f>SEARCH(K$1,$A176)</f>
        <v>#VALUE!</v>
      </c>
      <c r="L176">
        <f t="shared" si="12"/>
        <v>0</v>
      </c>
      <c r="M176" t="str">
        <f t="shared" si="13"/>
        <v/>
      </c>
      <c r="O176" t="s">
        <v>2020</v>
      </c>
    </row>
    <row r="177" spans="1:15" x14ac:dyDescent="0.35">
      <c r="A177" t="s">
        <v>2021</v>
      </c>
      <c r="B177" t="e">
        <f>SEARCH(B$1,$A177)</f>
        <v>#VALUE!</v>
      </c>
      <c r="C177" t="e">
        <f>SEARCH(C$1,$A177)</f>
        <v>#VALUE!</v>
      </c>
      <c r="D177" t="e">
        <f>SEARCH(D$1,$A177)</f>
        <v>#VALUE!</v>
      </c>
      <c r="E177">
        <f>SEARCH(E$1,$A177)</f>
        <v>60</v>
      </c>
      <c r="F177">
        <f>SEARCH(F$1,$A177)</f>
        <v>134</v>
      </c>
      <c r="G177">
        <f>SEARCH(G$1,$A177)</f>
        <v>136</v>
      </c>
      <c r="H177" t="e">
        <f>SEARCH(H$1,$A177)</f>
        <v>#VALUE!</v>
      </c>
      <c r="I177" t="e">
        <f>SEARCH(I$1,$A177)</f>
        <v>#VALUE!</v>
      </c>
      <c r="J177">
        <f>SEARCH(J$1,$A177)</f>
        <v>135</v>
      </c>
      <c r="K177" t="e">
        <f>SEARCH(K$1,$A177)</f>
        <v>#VALUE!</v>
      </c>
      <c r="L177">
        <f t="shared" si="12"/>
        <v>465</v>
      </c>
      <c r="M177" t="str">
        <f t="shared" si="13"/>
        <v/>
      </c>
      <c r="O177" t="s">
        <v>2021</v>
      </c>
    </row>
    <row r="178" spans="1:15" x14ac:dyDescent="0.35">
      <c r="A178" t="s">
        <v>1060</v>
      </c>
      <c r="B178" t="e">
        <f>SEARCH(B$1,$A178)</f>
        <v>#VALUE!</v>
      </c>
      <c r="C178" t="e">
        <f>SEARCH(C$1,$A178)</f>
        <v>#VALUE!</v>
      </c>
      <c r="D178" t="e">
        <f>SEARCH(D$1,$A178)</f>
        <v>#VALUE!</v>
      </c>
      <c r="E178" t="e">
        <f>SEARCH(E$1,$A178)</f>
        <v>#VALUE!</v>
      </c>
      <c r="F178" t="e">
        <f>SEARCH(F$1,$A178)</f>
        <v>#VALUE!</v>
      </c>
      <c r="G178" t="e">
        <f>SEARCH(G$1,$A178)</f>
        <v>#VALUE!</v>
      </c>
      <c r="H178" t="e">
        <f>SEARCH(H$1,$A178)</f>
        <v>#VALUE!</v>
      </c>
      <c r="I178" t="e">
        <f>SEARCH(I$1,$A178)</f>
        <v>#VALUE!</v>
      </c>
      <c r="J178" t="e">
        <f>SEARCH(J$1,$A178)</f>
        <v>#VALUE!</v>
      </c>
      <c r="K178" t="e">
        <f>SEARCH(K$1,$A178)</f>
        <v>#VALUE!</v>
      </c>
      <c r="L178">
        <f t="shared" si="12"/>
        <v>0</v>
      </c>
      <c r="M178" t="str">
        <f t="shared" si="13"/>
        <v/>
      </c>
      <c r="O178" t="s">
        <v>1060</v>
      </c>
    </row>
    <row r="179" spans="1:15" x14ac:dyDescent="0.35">
      <c r="A179" t="s">
        <v>2022</v>
      </c>
      <c r="B179" t="e">
        <f>SEARCH(B$1,$A179)</f>
        <v>#VALUE!</v>
      </c>
      <c r="C179" t="e">
        <f>SEARCH(C$1,$A179)</f>
        <v>#VALUE!</v>
      </c>
      <c r="D179" t="e">
        <f>SEARCH(D$1,$A179)</f>
        <v>#VALUE!</v>
      </c>
      <c r="E179">
        <f>SEARCH(E$1,$A179)</f>
        <v>149</v>
      </c>
      <c r="F179">
        <f>SEARCH(F$1,$A179)</f>
        <v>147</v>
      </c>
      <c r="G179" t="e">
        <f>SEARCH(G$1,$A179)</f>
        <v>#VALUE!</v>
      </c>
      <c r="H179" t="e">
        <f>SEARCH(H$1,$A179)</f>
        <v>#VALUE!</v>
      </c>
      <c r="I179" t="e">
        <f>SEARCH(I$1,$A179)</f>
        <v>#VALUE!</v>
      </c>
      <c r="J179" t="e">
        <f>SEARCH(J$1,$A179)</f>
        <v>#VALUE!</v>
      </c>
      <c r="K179">
        <f>SEARCH(K$1,$A179)</f>
        <v>148</v>
      </c>
      <c r="L179">
        <f t="shared" si="12"/>
        <v>444</v>
      </c>
      <c r="M179" t="str">
        <f t="shared" si="13"/>
        <v/>
      </c>
      <c r="O179" t="s">
        <v>2022</v>
      </c>
    </row>
    <row r="180" spans="1:15" x14ac:dyDescent="0.35">
      <c r="A180" t="s">
        <v>2023</v>
      </c>
      <c r="B180" t="e">
        <f>SEARCH(B$1,$A180)</f>
        <v>#VALUE!</v>
      </c>
      <c r="C180" t="e">
        <f>SEARCH(C$1,$A180)</f>
        <v>#VALUE!</v>
      </c>
      <c r="D180" t="e">
        <f>SEARCH(D$1,$A180)</f>
        <v>#VALUE!</v>
      </c>
      <c r="E180" t="e">
        <f>SEARCH(E$1,$A180)</f>
        <v>#VALUE!</v>
      </c>
      <c r="F180" t="e">
        <f>SEARCH(F$1,$A180)</f>
        <v>#VALUE!</v>
      </c>
      <c r="G180" t="e">
        <f>SEARCH(G$1,$A180)</f>
        <v>#VALUE!</v>
      </c>
      <c r="H180" t="e">
        <f>SEARCH(H$1,$A180)</f>
        <v>#VALUE!</v>
      </c>
      <c r="I180" t="e">
        <f>SEARCH(I$1,$A180)</f>
        <v>#VALUE!</v>
      </c>
      <c r="J180" t="e">
        <f>SEARCH(J$1,$A180)</f>
        <v>#VALUE!</v>
      </c>
      <c r="K180" t="e">
        <f>SEARCH(K$1,$A180)</f>
        <v>#VALUE!</v>
      </c>
      <c r="L180">
        <f t="shared" si="12"/>
        <v>0</v>
      </c>
      <c r="M180" t="str">
        <f t="shared" si="13"/>
        <v/>
      </c>
      <c r="O180" t="s">
        <v>2023</v>
      </c>
    </row>
    <row r="181" spans="1:15" x14ac:dyDescent="0.35">
      <c r="A181" t="s">
        <v>2024</v>
      </c>
      <c r="B181" t="e">
        <f>SEARCH(B$1,$A181)</f>
        <v>#VALUE!</v>
      </c>
      <c r="C181" t="e">
        <f>SEARCH(C$1,$A181)</f>
        <v>#VALUE!</v>
      </c>
      <c r="D181" t="e">
        <f>SEARCH(D$1,$A181)</f>
        <v>#VALUE!</v>
      </c>
      <c r="E181" t="e">
        <f>SEARCH(E$1,$A181)</f>
        <v>#VALUE!</v>
      </c>
      <c r="F181">
        <f>SEARCH(F$1,$A181)</f>
        <v>133</v>
      </c>
      <c r="G181">
        <f>SEARCH(G$1,$A181)</f>
        <v>135</v>
      </c>
      <c r="H181" t="e">
        <f>SEARCH(H$1,$A181)</f>
        <v>#VALUE!</v>
      </c>
      <c r="I181" t="e">
        <f>SEARCH(I$1,$A181)</f>
        <v>#VALUE!</v>
      </c>
      <c r="J181" t="e">
        <f>SEARCH(J$1,$A181)</f>
        <v>#VALUE!</v>
      </c>
      <c r="K181">
        <f>SEARCH(K$1,$A181)</f>
        <v>134</v>
      </c>
      <c r="L181">
        <f t="shared" si="12"/>
        <v>402</v>
      </c>
      <c r="M181" t="str">
        <f t="shared" si="13"/>
        <v/>
      </c>
      <c r="O181" t="s">
        <v>2024</v>
      </c>
    </row>
    <row r="182" spans="1:15" x14ac:dyDescent="0.35">
      <c r="A182" t="s">
        <v>2025</v>
      </c>
      <c r="B182" t="e">
        <f>SEARCH(B$1,$A182)</f>
        <v>#VALUE!</v>
      </c>
      <c r="C182" t="e">
        <f>SEARCH(C$1,$A182)</f>
        <v>#VALUE!</v>
      </c>
      <c r="D182" t="e">
        <f>SEARCH(D$1,$A182)</f>
        <v>#VALUE!</v>
      </c>
      <c r="E182" t="e">
        <f>SEARCH(E$1,$A182)</f>
        <v>#VALUE!</v>
      </c>
      <c r="F182" t="e">
        <f>SEARCH(F$1,$A182)</f>
        <v>#VALUE!</v>
      </c>
      <c r="G182" t="e">
        <f>SEARCH(G$1,$A182)</f>
        <v>#VALUE!</v>
      </c>
      <c r="H182" t="e">
        <f>SEARCH(H$1,$A182)</f>
        <v>#VALUE!</v>
      </c>
      <c r="I182" t="e">
        <f>SEARCH(I$1,$A182)</f>
        <v>#VALUE!</v>
      </c>
      <c r="J182" t="e">
        <f>SEARCH(J$1,$A182)</f>
        <v>#VALUE!</v>
      </c>
      <c r="K182" t="e">
        <f>SEARCH(K$1,$A182)</f>
        <v>#VALUE!</v>
      </c>
      <c r="L182">
        <f t="shared" si="12"/>
        <v>0</v>
      </c>
      <c r="M182" t="str">
        <f t="shared" si="13"/>
        <v/>
      </c>
      <c r="O182" t="s">
        <v>2025</v>
      </c>
    </row>
    <row r="183" spans="1:15" x14ac:dyDescent="0.35">
      <c r="A183" t="s">
        <v>2026</v>
      </c>
      <c r="B183" t="e">
        <f>SEARCH(B$1,$A183)</f>
        <v>#VALUE!</v>
      </c>
      <c r="C183" t="e">
        <f>SEARCH(C$1,$A183)</f>
        <v>#VALUE!</v>
      </c>
      <c r="D183" t="e">
        <f>SEARCH(D$1,$A183)</f>
        <v>#VALUE!</v>
      </c>
      <c r="E183" t="e">
        <f>SEARCH(E$1,$A183)</f>
        <v>#VALUE!</v>
      </c>
      <c r="F183">
        <f>SEARCH(F$1,$A183)</f>
        <v>119</v>
      </c>
      <c r="G183" t="e">
        <f>SEARCH(G$1,$A183)</f>
        <v>#VALUE!</v>
      </c>
      <c r="H183" t="e">
        <f>SEARCH(H$1,$A183)</f>
        <v>#VALUE!</v>
      </c>
      <c r="I183">
        <f>SEARCH(I$1,$A183)</f>
        <v>121</v>
      </c>
      <c r="J183" t="e">
        <f>SEARCH(J$1,$A183)</f>
        <v>#VALUE!</v>
      </c>
      <c r="K183">
        <f>SEARCH(K$1,$A183)</f>
        <v>120</v>
      </c>
      <c r="L183">
        <f t="shared" si="12"/>
        <v>360</v>
      </c>
      <c r="M183" t="str">
        <f t="shared" si="13"/>
        <v/>
      </c>
      <c r="O183" t="s">
        <v>2026</v>
      </c>
    </row>
    <row r="184" spans="1:15" x14ac:dyDescent="0.35">
      <c r="A184" t="s">
        <v>2027</v>
      </c>
      <c r="B184" t="e">
        <f>SEARCH(B$1,$A184)</f>
        <v>#VALUE!</v>
      </c>
      <c r="C184" t="e">
        <f>SEARCH(C$1,$A184)</f>
        <v>#VALUE!</v>
      </c>
      <c r="D184" t="e">
        <f>SEARCH(D$1,$A184)</f>
        <v>#VALUE!</v>
      </c>
      <c r="E184" t="e">
        <f>SEARCH(E$1,$A184)</f>
        <v>#VALUE!</v>
      </c>
      <c r="F184" t="e">
        <f>SEARCH(F$1,$A184)</f>
        <v>#VALUE!</v>
      </c>
      <c r="G184" t="e">
        <f>SEARCH(G$1,$A184)</f>
        <v>#VALUE!</v>
      </c>
      <c r="H184" t="e">
        <f>SEARCH(H$1,$A184)</f>
        <v>#VALUE!</v>
      </c>
      <c r="I184" t="e">
        <f>SEARCH(I$1,$A184)</f>
        <v>#VALUE!</v>
      </c>
      <c r="J184" t="e">
        <f>SEARCH(J$1,$A184)</f>
        <v>#VALUE!</v>
      </c>
      <c r="K184" t="e">
        <f>SEARCH(K$1,$A184)</f>
        <v>#VALUE!</v>
      </c>
      <c r="L184">
        <f t="shared" si="12"/>
        <v>0</v>
      </c>
      <c r="M184" t="str">
        <f t="shared" si="13"/>
        <v/>
      </c>
      <c r="N184" t="str">
        <f>_xlfn.CONCAT(A184," ",A185)</f>
        <v>Quentin Carde, Marco Foley, Carole Knibbe, David P. Parsons, Jonathan Rouzaud-Cornabas and Guillaume Beslon</v>
      </c>
      <c r="O184" t="s">
        <v>2106</v>
      </c>
    </row>
    <row r="185" spans="1:15" x14ac:dyDescent="0.35">
      <c r="A185" t="s">
        <v>1796</v>
      </c>
      <c r="B185" t="e">
        <f>SEARCH(B$1,$A185)</f>
        <v>#VALUE!</v>
      </c>
      <c r="C185" t="e">
        <f>SEARCH(C$1,$A185)</f>
        <v>#VALUE!</v>
      </c>
      <c r="D185" t="e">
        <f>SEARCH(D$1,$A185)</f>
        <v>#VALUE!</v>
      </c>
      <c r="E185" t="e">
        <f>SEARCH(E$1,$A185)</f>
        <v>#VALUE!</v>
      </c>
      <c r="F185" t="e">
        <f>SEARCH(F$1,$A185)</f>
        <v>#VALUE!</v>
      </c>
      <c r="G185" t="e">
        <f>SEARCH(G$1,$A185)</f>
        <v>#VALUE!</v>
      </c>
      <c r="H185" t="e">
        <f>SEARCH(H$1,$A185)</f>
        <v>#VALUE!</v>
      </c>
      <c r="I185" t="e">
        <f>SEARCH(I$1,$A185)</f>
        <v>#VALUE!</v>
      </c>
      <c r="J185" t="e">
        <f>SEARCH(J$1,$A185)</f>
        <v>#VALUE!</v>
      </c>
      <c r="K185" t="e">
        <f>SEARCH(K$1,$A185)</f>
        <v>#VALUE!</v>
      </c>
      <c r="L185">
        <f t="shared" si="12"/>
        <v>0</v>
      </c>
    </row>
    <row r="186" spans="1:15" x14ac:dyDescent="0.35">
      <c r="A186" t="s">
        <v>2028</v>
      </c>
      <c r="B186" t="e">
        <f>SEARCH(B$1,$A186)</f>
        <v>#VALUE!</v>
      </c>
      <c r="C186" t="e">
        <f>SEARCH(C$1,$A186)</f>
        <v>#VALUE!</v>
      </c>
      <c r="D186" t="e">
        <f>SEARCH(D$1,$A186)</f>
        <v>#VALUE!</v>
      </c>
      <c r="E186" t="e">
        <f>SEARCH(E$1,$A186)</f>
        <v>#VALUE!</v>
      </c>
      <c r="F186" t="e">
        <f>SEARCH(F$1,$A186)</f>
        <v>#VALUE!</v>
      </c>
      <c r="G186" t="e">
        <f>SEARCH(G$1,$A186)</f>
        <v>#VALUE!</v>
      </c>
      <c r="H186" t="e">
        <f>SEARCH(H$1,$A186)</f>
        <v>#VALUE!</v>
      </c>
      <c r="I186" t="e">
        <f>SEARCH(I$1,$A186)</f>
        <v>#VALUE!</v>
      </c>
      <c r="J186" t="e">
        <f>SEARCH(J$1,$A186)</f>
        <v>#VALUE!</v>
      </c>
      <c r="K186" t="e">
        <f>SEARCH(K$1,$A186)</f>
        <v>#VALUE!</v>
      </c>
      <c r="L186">
        <f t="shared" si="12"/>
        <v>0</v>
      </c>
      <c r="M186" t="str">
        <f t="shared" si="13"/>
        <v>Gathering of the Hive: Investigating the clustering behaviour of honeybees through art and swarm robotics . . . . . . . . . . . . . . . . . . . . . . . . . . . . . . . . . . . . . . . . . . . . . . . . . . . . . . . . . . . . . . . . . . . . . . . . . . . . . . . . . . . . . . . . . . . . . . . 505</v>
      </c>
      <c r="O186" t="s">
        <v>2107</v>
      </c>
    </row>
    <row r="187" spans="1:15" x14ac:dyDescent="0.35">
      <c r="A187" t="s">
        <v>2029</v>
      </c>
      <c r="B187">
        <f>SEARCH(B$1,$A187)</f>
        <v>201</v>
      </c>
      <c r="C187" t="e">
        <f>SEARCH(C$1,$A187)</f>
        <v>#VALUE!</v>
      </c>
      <c r="D187" t="e">
        <f>SEARCH(D$1,$A187)</f>
        <v>#VALUE!</v>
      </c>
      <c r="E187" t="e">
        <f>SEARCH(E$1,$A187)</f>
        <v>#VALUE!</v>
      </c>
      <c r="F187" t="e">
        <f>SEARCH(F$1,$A187)</f>
        <v>#VALUE!</v>
      </c>
      <c r="G187">
        <f>SEARCH(G$1,$A187)</f>
        <v>200</v>
      </c>
      <c r="H187" t="e">
        <f>SEARCH(H$1,$A187)</f>
        <v>#VALUE!</v>
      </c>
      <c r="I187" t="e">
        <f>SEARCH(I$1,$A187)</f>
        <v>#VALUE!</v>
      </c>
      <c r="J187" t="e">
        <f>SEARCH(J$1,$A187)</f>
        <v>#VALUE!</v>
      </c>
      <c r="K187" t="e">
        <f>SEARCH(K$1,$A187)</f>
        <v>#VALUE!</v>
      </c>
      <c r="L187">
        <f t="shared" si="12"/>
        <v>401</v>
      </c>
      <c r="M187" t="str">
        <f t="shared" si="13"/>
        <v/>
      </c>
    </row>
    <row r="188" spans="1:15" x14ac:dyDescent="0.35">
      <c r="A188" t="s">
        <v>2030</v>
      </c>
      <c r="B188" t="e">
        <f>SEARCH(B$1,$A188)</f>
        <v>#VALUE!</v>
      </c>
      <c r="C188" t="e">
        <f>SEARCH(C$1,$A188)</f>
        <v>#VALUE!</v>
      </c>
      <c r="D188" t="e">
        <f>SEARCH(D$1,$A188)</f>
        <v>#VALUE!</v>
      </c>
      <c r="E188" t="e">
        <f>SEARCH(E$1,$A188)</f>
        <v>#VALUE!</v>
      </c>
      <c r="F188" t="e">
        <f>SEARCH(F$1,$A188)</f>
        <v>#VALUE!</v>
      </c>
      <c r="G188" t="e">
        <f>SEARCH(G$1,$A188)</f>
        <v>#VALUE!</v>
      </c>
      <c r="H188" t="e">
        <f>SEARCH(H$1,$A188)</f>
        <v>#VALUE!</v>
      </c>
      <c r="I188" t="e">
        <f>SEARCH(I$1,$A188)</f>
        <v>#VALUE!</v>
      </c>
      <c r="J188" t="e">
        <f>SEARCH(J$1,$A188)</f>
        <v>#VALUE!</v>
      </c>
      <c r="K188" t="e">
        <f>SEARCH(K$1,$A188)</f>
        <v>#VALUE!</v>
      </c>
      <c r="L188">
        <f t="shared" si="12"/>
        <v>0</v>
      </c>
      <c r="M188" t="str">
        <f t="shared" si="13"/>
        <v/>
      </c>
      <c r="O188" t="s">
        <v>2030</v>
      </c>
    </row>
    <row r="189" spans="1:15" x14ac:dyDescent="0.35">
      <c r="A189" t="s">
        <v>2031</v>
      </c>
      <c r="B189">
        <f t="shared" ref="B189:K220" si="15">SEARCH(B$1,$A189)</f>
        <v>166</v>
      </c>
      <c r="C189" t="e">
        <f t="shared" si="15"/>
        <v>#VALUE!</v>
      </c>
      <c r="D189" t="e">
        <f t="shared" si="15"/>
        <v>#VALUE!</v>
      </c>
      <c r="E189" t="e">
        <f t="shared" si="15"/>
        <v>#VALUE!</v>
      </c>
      <c r="F189" t="e">
        <f t="shared" si="15"/>
        <v>#VALUE!</v>
      </c>
      <c r="G189">
        <f t="shared" si="15"/>
        <v>165</v>
      </c>
      <c r="H189" t="e">
        <f t="shared" si="15"/>
        <v>#VALUE!</v>
      </c>
      <c r="I189">
        <f t="shared" si="15"/>
        <v>167</v>
      </c>
      <c r="J189" t="e">
        <f t="shared" si="15"/>
        <v>#VALUE!</v>
      </c>
      <c r="K189" t="e">
        <f t="shared" si="15"/>
        <v>#VALUE!</v>
      </c>
      <c r="L189">
        <f t="shared" si="12"/>
        <v>498</v>
      </c>
      <c r="M189" t="str">
        <f t="shared" si="13"/>
        <v/>
      </c>
      <c r="O189" t="s">
        <v>2031</v>
      </c>
    </row>
    <row r="190" spans="1:15" x14ac:dyDescent="0.35">
      <c r="A190" t="s">
        <v>2032</v>
      </c>
      <c r="B190" t="e">
        <f t="shared" si="15"/>
        <v>#VALUE!</v>
      </c>
      <c r="C190" t="e">
        <f t="shared" si="15"/>
        <v>#VALUE!</v>
      </c>
      <c r="D190" t="e">
        <f t="shared" si="15"/>
        <v>#VALUE!</v>
      </c>
      <c r="E190" t="e">
        <f t="shared" si="15"/>
        <v>#VALUE!</v>
      </c>
      <c r="F190" t="e">
        <f t="shared" si="15"/>
        <v>#VALUE!</v>
      </c>
      <c r="G190" t="e">
        <f t="shared" si="15"/>
        <v>#VALUE!</v>
      </c>
      <c r="H190" t="e">
        <f t="shared" si="15"/>
        <v>#VALUE!</v>
      </c>
      <c r="I190" t="e">
        <f t="shared" si="15"/>
        <v>#VALUE!</v>
      </c>
      <c r="J190" t="e">
        <f t="shared" si="15"/>
        <v>#VALUE!</v>
      </c>
      <c r="K190" t="e">
        <f t="shared" si="15"/>
        <v>#VALUE!</v>
      </c>
      <c r="L190">
        <f t="shared" si="12"/>
        <v>0</v>
      </c>
      <c r="M190" t="str">
        <f t="shared" si="13"/>
        <v/>
      </c>
      <c r="N190" t="str">
        <f>_xlfn.CONCAT(A190," ",A191)</f>
        <v>Alexander Lalejini, Emily Dolson, Clifford Bohm, Austin J. Ferguson, David P. Parsons, Penelope Faulkner Rainford, Paul Richmond and Charles Ofria</v>
      </c>
      <c r="O190" t="s">
        <v>2108</v>
      </c>
    </row>
    <row r="191" spans="1:15" x14ac:dyDescent="0.35">
      <c r="A191" t="s">
        <v>2033</v>
      </c>
      <c r="B191" t="e">
        <f t="shared" si="15"/>
        <v>#VALUE!</v>
      </c>
      <c r="C191" t="e">
        <f t="shared" si="15"/>
        <v>#VALUE!</v>
      </c>
      <c r="D191" t="e">
        <f t="shared" si="15"/>
        <v>#VALUE!</v>
      </c>
      <c r="E191" t="e">
        <f t="shared" si="15"/>
        <v>#VALUE!</v>
      </c>
      <c r="F191" t="e">
        <f t="shared" si="15"/>
        <v>#VALUE!</v>
      </c>
      <c r="G191" t="e">
        <f t="shared" si="15"/>
        <v>#VALUE!</v>
      </c>
      <c r="H191" t="e">
        <f t="shared" si="15"/>
        <v>#VALUE!</v>
      </c>
      <c r="I191" t="e">
        <f t="shared" si="15"/>
        <v>#VALUE!</v>
      </c>
      <c r="J191" t="e">
        <f t="shared" si="15"/>
        <v>#VALUE!</v>
      </c>
      <c r="K191" t="e">
        <f t="shared" si="15"/>
        <v>#VALUE!</v>
      </c>
      <c r="L191">
        <f t="shared" si="12"/>
        <v>0</v>
      </c>
    </row>
    <row r="192" spans="1:15" x14ac:dyDescent="0.35">
      <c r="A192" t="s">
        <v>2034</v>
      </c>
      <c r="B192" t="e">
        <f t="shared" si="15"/>
        <v>#VALUE!</v>
      </c>
      <c r="C192">
        <f t="shared" si="15"/>
        <v>129</v>
      </c>
      <c r="D192" t="e">
        <f t="shared" si="15"/>
        <v>#VALUE!</v>
      </c>
      <c r="E192" t="e">
        <f t="shared" si="15"/>
        <v>#VALUE!</v>
      </c>
      <c r="F192" t="e">
        <f t="shared" si="15"/>
        <v>#VALUE!</v>
      </c>
      <c r="G192">
        <f t="shared" si="15"/>
        <v>128</v>
      </c>
      <c r="H192" t="e">
        <f t="shared" si="15"/>
        <v>#VALUE!</v>
      </c>
      <c r="I192" t="e">
        <f t="shared" si="15"/>
        <v>#VALUE!</v>
      </c>
      <c r="J192" t="e">
        <f t="shared" si="15"/>
        <v>#VALUE!</v>
      </c>
      <c r="K192" t="e">
        <f t="shared" si="15"/>
        <v>#VALUE!</v>
      </c>
      <c r="L192">
        <f t="shared" si="12"/>
        <v>257</v>
      </c>
      <c r="M192" t="str">
        <f t="shared" si="13"/>
        <v/>
      </c>
      <c r="O192" t="s">
        <v>2034</v>
      </c>
    </row>
    <row r="193" spans="1:15" x14ac:dyDescent="0.35">
      <c r="A193" t="s">
        <v>2035</v>
      </c>
      <c r="B193" t="e">
        <f t="shared" si="15"/>
        <v>#VALUE!</v>
      </c>
      <c r="C193" t="e">
        <f t="shared" si="15"/>
        <v>#VALUE!</v>
      </c>
      <c r="D193" t="e">
        <f t="shared" si="15"/>
        <v>#VALUE!</v>
      </c>
      <c r="E193" t="e">
        <f t="shared" si="15"/>
        <v>#VALUE!</v>
      </c>
      <c r="F193" t="e">
        <f t="shared" si="15"/>
        <v>#VALUE!</v>
      </c>
      <c r="G193" t="e">
        <f t="shared" si="15"/>
        <v>#VALUE!</v>
      </c>
      <c r="H193" t="e">
        <f t="shared" si="15"/>
        <v>#VALUE!</v>
      </c>
      <c r="I193" t="e">
        <f t="shared" si="15"/>
        <v>#VALUE!</v>
      </c>
      <c r="J193" t="e">
        <f t="shared" si="15"/>
        <v>#VALUE!</v>
      </c>
      <c r="K193" t="e">
        <f t="shared" si="15"/>
        <v>#VALUE!</v>
      </c>
      <c r="L193">
        <f t="shared" si="12"/>
        <v>0</v>
      </c>
      <c r="M193" t="str">
        <f t="shared" si="13"/>
        <v/>
      </c>
      <c r="O193" t="s">
        <v>2035</v>
      </c>
    </row>
    <row r="194" spans="1:15" x14ac:dyDescent="0.35">
      <c r="A194" t="s">
        <v>2036</v>
      </c>
      <c r="B194" t="e">
        <f t="shared" si="15"/>
        <v>#VALUE!</v>
      </c>
      <c r="C194" t="e">
        <f t="shared" si="15"/>
        <v>#VALUE!</v>
      </c>
      <c r="D194">
        <f t="shared" si="15"/>
        <v>179</v>
      </c>
      <c r="E194">
        <f t="shared" si="15"/>
        <v>180</v>
      </c>
      <c r="F194" t="e">
        <f t="shared" si="15"/>
        <v>#VALUE!</v>
      </c>
      <c r="G194">
        <f t="shared" si="15"/>
        <v>178</v>
      </c>
      <c r="H194" t="e">
        <f t="shared" si="15"/>
        <v>#VALUE!</v>
      </c>
      <c r="I194" t="e">
        <f t="shared" si="15"/>
        <v>#VALUE!</v>
      </c>
      <c r="J194" t="e">
        <f t="shared" si="15"/>
        <v>#VALUE!</v>
      </c>
      <c r="K194" t="e">
        <f t="shared" si="15"/>
        <v>#VALUE!</v>
      </c>
      <c r="L194">
        <f t="shared" si="12"/>
        <v>537</v>
      </c>
      <c r="M194" t="str">
        <f t="shared" si="13"/>
        <v/>
      </c>
      <c r="O194" t="s">
        <v>2036</v>
      </c>
    </row>
    <row r="195" spans="1:15" x14ac:dyDescent="0.35">
      <c r="A195" t="s">
        <v>2037</v>
      </c>
      <c r="B195" t="e">
        <f t="shared" si="15"/>
        <v>#VALUE!</v>
      </c>
      <c r="C195" t="e">
        <f t="shared" si="15"/>
        <v>#VALUE!</v>
      </c>
      <c r="D195" t="e">
        <f t="shared" si="15"/>
        <v>#VALUE!</v>
      </c>
      <c r="E195" t="e">
        <f t="shared" si="15"/>
        <v>#VALUE!</v>
      </c>
      <c r="F195" t="e">
        <f t="shared" si="15"/>
        <v>#VALUE!</v>
      </c>
      <c r="G195" t="e">
        <f t="shared" si="15"/>
        <v>#VALUE!</v>
      </c>
      <c r="H195" t="e">
        <f t="shared" si="15"/>
        <v>#VALUE!</v>
      </c>
      <c r="I195" t="e">
        <f t="shared" si="15"/>
        <v>#VALUE!</v>
      </c>
      <c r="J195" t="e">
        <f t="shared" si="15"/>
        <v>#VALUE!</v>
      </c>
      <c r="K195" t="e">
        <f t="shared" si="15"/>
        <v>#VALUE!</v>
      </c>
      <c r="L195">
        <f t="shared" ref="L195:L258" si="16">SUMIF(B195:K195,"&lt;&gt;#VALUE!")</f>
        <v>0</v>
      </c>
      <c r="M195" t="str">
        <f t="shared" si="13"/>
        <v/>
      </c>
      <c r="O195" t="s">
        <v>2037</v>
      </c>
    </row>
    <row r="196" spans="1:15" x14ac:dyDescent="0.35">
      <c r="A196" t="s">
        <v>2038</v>
      </c>
      <c r="B196" t="e">
        <f t="shared" si="15"/>
        <v>#VALUE!</v>
      </c>
      <c r="C196">
        <f t="shared" si="15"/>
        <v>124</v>
      </c>
      <c r="D196" t="e">
        <f t="shared" si="15"/>
        <v>#VALUE!</v>
      </c>
      <c r="E196">
        <f t="shared" si="15"/>
        <v>123</v>
      </c>
      <c r="F196" t="e">
        <f t="shared" si="15"/>
        <v>#VALUE!</v>
      </c>
      <c r="G196">
        <f t="shared" si="15"/>
        <v>122</v>
      </c>
      <c r="H196" t="e">
        <f t="shared" si="15"/>
        <v>#VALUE!</v>
      </c>
      <c r="I196" t="e">
        <f t="shared" si="15"/>
        <v>#VALUE!</v>
      </c>
      <c r="J196" t="e">
        <f t="shared" si="15"/>
        <v>#VALUE!</v>
      </c>
      <c r="K196" t="e">
        <f t="shared" si="15"/>
        <v>#VALUE!</v>
      </c>
      <c r="L196">
        <f t="shared" si="16"/>
        <v>369</v>
      </c>
      <c r="M196" t="str">
        <f t="shared" si="13"/>
        <v/>
      </c>
      <c r="O196" t="s">
        <v>2038</v>
      </c>
    </row>
    <row r="197" spans="1:15" x14ac:dyDescent="0.35">
      <c r="A197" t="s">
        <v>2039</v>
      </c>
      <c r="B197" t="e">
        <f t="shared" si="15"/>
        <v>#VALUE!</v>
      </c>
      <c r="C197" t="e">
        <f t="shared" si="15"/>
        <v>#VALUE!</v>
      </c>
      <c r="D197" t="e">
        <f t="shared" si="15"/>
        <v>#VALUE!</v>
      </c>
      <c r="E197" t="e">
        <f t="shared" si="15"/>
        <v>#VALUE!</v>
      </c>
      <c r="F197" t="e">
        <f t="shared" si="15"/>
        <v>#VALUE!</v>
      </c>
      <c r="G197" t="e">
        <f t="shared" si="15"/>
        <v>#VALUE!</v>
      </c>
      <c r="H197" t="e">
        <f t="shared" si="15"/>
        <v>#VALUE!</v>
      </c>
      <c r="I197" t="e">
        <f t="shared" si="15"/>
        <v>#VALUE!</v>
      </c>
      <c r="J197" t="e">
        <f t="shared" si="15"/>
        <v>#VALUE!</v>
      </c>
      <c r="K197" t="e">
        <f t="shared" si="15"/>
        <v>#VALUE!</v>
      </c>
      <c r="L197">
        <f t="shared" si="16"/>
        <v>0</v>
      </c>
      <c r="M197" t="str">
        <f t="shared" si="13"/>
        <v/>
      </c>
      <c r="O197" t="s">
        <v>2039</v>
      </c>
    </row>
    <row r="198" spans="1:15" x14ac:dyDescent="0.35">
      <c r="A198" t="s">
        <v>2040</v>
      </c>
      <c r="B198" t="e">
        <f t="shared" si="15"/>
        <v>#VALUE!</v>
      </c>
      <c r="C198" t="e">
        <f t="shared" si="15"/>
        <v>#VALUE!</v>
      </c>
      <c r="D198" t="e">
        <f t="shared" si="15"/>
        <v>#VALUE!</v>
      </c>
      <c r="E198">
        <f t="shared" si="15"/>
        <v>144</v>
      </c>
      <c r="F198" t="e">
        <f t="shared" si="15"/>
        <v>#VALUE!</v>
      </c>
      <c r="G198">
        <f t="shared" si="15"/>
        <v>143</v>
      </c>
      <c r="H198" t="e">
        <f t="shared" si="15"/>
        <v>#VALUE!</v>
      </c>
      <c r="I198" t="e">
        <f t="shared" si="15"/>
        <v>#VALUE!</v>
      </c>
      <c r="J198" t="e">
        <f t="shared" si="15"/>
        <v>#VALUE!</v>
      </c>
      <c r="K198" t="e">
        <f t="shared" si="15"/>
        <v>#VALUE!</v>
      </c>
      <c r="L198">
        <f t="shared" si="16"/>
        <v>287</v>
      </c>
      <c r="M198" t="str">
        <f t="shared" si="13"/>
        <v/>
      </c>
      <c r="O198" t="s">
        <v>2040</v>
      </c>
    </row>
    <row r="199" spans="1:15" x14ac:dyDescent="0.35">
      <c r="A199" t="s">
        <v>2041</v>
      </c>
      <c r="B199" t="e">
        <f t="shared" si="15"/>
        <v>#VALUE!</v>
      </c>
      <c r="C199" t="e">
        <f t="shared" si="15"/>
        <v>#VALUE!</v>
      </c>
      <c r="D199" t="e">
        <f t="shared" si="15"/>
        <v>#VALUE!</v>
      </c>
      <c r="E199" t="e">
        <f t="shared" si="15"/>
        <v>#VALUE!</v>
      </c>
      <c r="F199" t="e">
        <f t="shared" si="15"/>
        <v>#VALUE!</v>
      </c>
      <c r="G199" t="e">
        <f t="shared" si="15"/>
        <v>#VALUE!</v>
      </c>
      <c r="H199" t="e">
        <f t="shared" si="15"/>
        <v>#VALUE!</v>
      </c>
      <c r="I199" t="e">
        <f t="shared" si="15"/>
        <v>#VALUE!</v>
      </c>
      <c r="J199" t="e">
        <f t="shared" si="15"/>
        <v>#VALUE!</v>
      </c>
      <c r="K199" t="e">
        <f t="shared" si="15"/>
        <v>#VALUE!</v>
      </c>
      <c r="L199">
        <f t="shared" si="16"/>
        <v>0</v>
      </c>
      <c r="M199" t="str">
        <f t="shared" si="13"/>
        <v/>
      </c>
      <c r="O199" t="s">
        <v>2041</v>
      </c>
    </row>
    <row r="200" spans="1:15" x14ac:dyDescent="0.35">
      <c r="A200" t="s">
        <v>2042</v>
      </c>
      <c r="B200" t="e">
        <f t="shared" si="15"/>
        <v>#VALUE!</v>
      </c>
      <c r="C200" t="e">
        <f t="shared" si="15"/>
        <v>#VALUE!</v>
      </c>
      <c r="D200" t="e">
        <f t="shared" si="15"/>
        <v>#VALUE!</v>
      </c>
      <c r="E200" t="e">
        <f t="shared" si="15"/>
        <v>#VALUE!</v>
      </c>
      <c r="F200" t="e">
        <f t="shared" si="15"/>
        <v>#VALUE!</v>
      </c>
      <c r="G200" t="e">
        <f t="shared" si="15"/>
        <v>#VALUE!</v>
      </c>
      <c r="H200" t="e">
        <f t="shared" si="15"/>
        <v>#VALUE!</v>
      </c>
      <c r="I200" t="e">
        <f t="shared" si="15"/>
        <v>#VALUE!</v>
      </c>
      <c r="J200" t="e">
        <f t="shared" si="15"/>
        <v>#VALUE!</v>
      </c>
      <c r="K200" t="e">
        <f t="shared" si="15"/>
        <v>#VALUE!</v>
      </c>
      <c r="L200">
        <f t="shared" si="16"/>
        <v>0</v>
      </c>
      <c r="M200" t="str">
        <f t="shared" si="13"/>
        <v>The Effects of Individual and Social Learning on the Evolution of Cognitive and Communicative Aspects of Language Abilities . . . . . . . . . . . . . . . . . . . . . . . . . . . . . . . . . . . . . . . . . . . . . . . . . . . . . . . . . . . . . . . . . . . . . . . . . 541</v>
      </c>
      <c r="O200" t="s">
        <v>2109</v>
      </c>
    </row>
    <row r="201" spans="1:15" x14ac:dyDescent="0.35">
      <c r="A201" t="s">
        <v>2043</v>
      </c>
      <c r="B201" t="e">
        <f t="shared" si="15"/>
        <v>#VALUE!</v>
      </c>
      <c r="C201">
        <f t="shared" si="15"/>
        <v>179</v>
      </c>
      <c r="D201" t="e">
        <f t="shared" si="15"/>
        <v>#VALUE!</v>
      </c>
      <c r="E201" t="e">
        <f t="shared" si="15"/>
        <v>#VALUE!</v>
      </c>
      <c r="F201">
        <f t="shared" si="15"/>
        <v>178</v>
      </c>
      <c r="G201">
        <f t="shared" si="15"/>
        <v>177</v>
      </c>
      <c r="H201" t="e">
        <f t="shared" si="15"/>
        <v>#VALUE!</v>
      </c>
      <c r="I201" t="e">
        <f t="shared" si="15"/>
        <v>#VALUE!</v>
      </c>
      <c r="J201" t="e">
        <f t="shared" si="15"/>
        <v>#VALUE!</v>
      </c>
      <c r="K201" t="e">
        <f t="shared" si="15"/>
        <v>#VALUE!</v>
      </c>
      <c r="L201">
        <f t="shared" si="16"/>
        <v>534</v>
      </c>
      <c r="M201" t="str">
        <f t="shared" si="13"/>
        <v/>
      </c>
    </row>
    <row r="202" spans="1:15" x14ac:dyDescent="0.35">
      <c r="A202" t="s">
        <v>2044</v>
      </c>
      <c r="B202" t="e">
        <f t="shared" si="15"/>
        <v>#VALUE!</v>
      </c>
      <c r="C202" t="e">
        <f t="shared" si="15"/>
        <v>#VALUE!</v>
      </c>
      <c r="D202" t="e">
        <f t="shared" si="15"/>
        <v>#VALUE!</v>
      </c>
      <c r="E202" t="e">
        <f t="shared" si="15"/>
        <v>#VALUE!</v>
      </c>
      <c r="F202" t="e">
        <f t="shared" si="15"/>
        <v>#VALUE!</v>
      </c>
      <c r="G202" t="e">
        <f t="shared" si="15"/>
        <v>#VALUE!</v>
      </c>
      <c r="H202" t="e">
        <f t="shared" si="15"/>
        <v>#VALUE!</v>
      </c>
      <c r="I202" t="e">
        <f t="shared" si="15"/>
        <v>#VALUE!</v>
      </c>
      <c r="J202" t="e">
        <f t="shared" si="15"/>
        <v>#VALUE!</v>
      </c>
      <c r="K202" t="e">
        <f t="shared" si="15"/>
        <v>#VALUE!</v>
      </c>
      <c r="L202">
        <f t="shared" si="16"/>
        <v>0</v>
      </c>
      <c r="M202" t="str">
        <f t="shared" ref="M202:M260" si="17">IF(AND(L201=0,L202=0),_xlfn.CONCAT(A202," ",A203),"")</f>
        <v/>
      </c>
      <c r="O202" t="s">
        <v>2044</v>
      </c>
    </row>
    <row r="203" spans="1:15" x14ac:dyDescent="0.35">
      <c r="A203" t="s">
        <v>2045</v>
      </c>
      <c r="B203" t="e">
        <f t="shared" si="15"/>
        <v>#VALUE!</v>
      </c>
      <c r="C203" t="e">
        <f t="shared" si="15"/>
        <v>#VALUE!</v>
      </c>
      <c r="D203" t="e">
        <f t="shared" si="15"/>
        <v>#VALUE!</v>
      </c>
      <c r="E203">
        <f t="shared" si="15"/>
        <v>125</v>
      </c>
      <c r="F203">
        <f t="shared" si="15"/>
        <v>124</v>
      </c>
      <c r="G203">
        <f t="shared" si="15"/>
        <v>123</v>
      </c>
      <c r="H203" t="e">
        <f t="shared" si="15"/>
        <v>#VALUE!</v>
      </c>
      <c r="I203" t="e">
        <f t="shared" si="15"/>
        <v>#VALUE!</v>
      </c>
      <c r="J203" t="e">
        <f t="shared" si="15"/>
        <v>#VALUE!</v>
      </c>
      <c r="K203" t="e">
        <f t="shared" si="15"/>
        <v>#VALUE!</v>
      </c>
      <c r="L203">
        <f t="shared" si="16"/>
        <v>372</v>
      </c>
      <c r="M203" t="str">
        <f t="shared" si="17"/>
        <v/>
      </c>
      <c r="O203" t="s">
        <v>2045</v>
      </c>
    </row>
    <row r="204" spans="1:15" x14ac:dyDescent="0.35">
      <c r="A204" t="s">
        <v>2046</v>
      </c>
      <c r="B204" t="e">
        <f t="shared" si="15"/>
        <v>#VALUE!</v>
      </c>
      <c r="C204" t="e">
        <f t="shared" si="15"/>
        <v>#VALUE!</v>
      </c>
      <c r="D204" t="e">
        <f t="shared" si="15"/>
        <v>#VALUE!</v>
      </c>
      <c r="E204" t="e">
        <f t="shared" si="15"/>
        <v>#VALUE!</v>
      </c>
      <c r="F204" t="e">
        <f t="shared" si="15"/>
        <v>#VALUE!</v>
      </c>
      <c r="G204" t="e">
        <f t="shared" si="15"/>
        <v>#VALUE!</v>
      </c>
      <c r="H204" t="e">
        <f t="shared" si="15"/>
        <v>#VALUE!</v>
      </c>
      <c r="I204" t="e">
        <f t="shared" si="15"/>
        <v>#VALUE!</v>
      </c>
      <c r="J204" t="e">
        <f t="shared" si="15"/>
        <v>#VALUE!</v>
      </c>
      <c r="K204" t="e">
        <f t="shared" si="15"/>
        <v>#VALUE!</v>
      </c>
      <c r="L204">
        <f t="shared" si="16"/>
        <v>0</v>
      </c>
      <c r="M204" t="str">
        <f t="shared" si="17"/>
        <v/>
      </c>
      <c r="O204" t="s">
        <v>2046</v>
      </c>
    </row>
    <row r="205" spans="1:15" x14ac:dyDescent="0.35">
      <c r="A205" t="s">
        <v>2047</v>
      </c>
      <c r="B205" t="e">
        <f t="shared" si="15"/>
        <v>#VALUE!</v>
      </c>
      <c r="C205">
        <f t="shared" si="15"/>
        <v>141</v>
      </c>
      <c r="D205" t="e">
        <f t="shared" si="15"/>
        <v>#VALUE!</v>
      </c>
      <c r="E205" t="e">
        <f t="shared" si="15"/>
        <v>#VALUE!</v>
      </c>
      <c r="F205" t="e">
        <f t="shared" si="15"/>
        <v>#VALUE!</v>
      </c>
      <c r="G205">
        <f t="shared" si="15"/>
        <v>139</v>
      </c>
      <c r="H205" t="e">
        <f t="shared" si="15"/>
        <v>#VALUE!</v>
      </c>
      <c r="I205" t="e">
        <f t="shared" si="15"/>
        <v>#VALUE!</v>
      </c>
      <c r="J205" t="e">
        <f t="shared" si="15"/>
        <v>#VALUE!</v>
      </c>
      <c r="K205" t="e">
        <f t="shared" si="15"/>
        <v>#VALUE!</v>
      </c>
      <c r="L205">
        <f t="shared" si="16"/>
        <v>280</v>
      </c>
      <c r="M205" t="str">
        <f t="shared" si="17"/>
        <v/>
      </c>
      <c r="O205" t="s">
        <v>2047</v>
      </c>
    </row>
    <row r="206" spans="1:15" x14ac:dyDescent="0.35">
      <c r="A206" t="s">
        <v>1066</v>
      </c>
      <c r="B206" t="e">
        <f t="shared" si="15"/>
        <v>#VALUE!</v>
      </c>
      <c r="C206" t="e">
        <f t="shared" si="15"/>
        <v>#VALUE!</v>
      </c>
      <c r="D206" t="e">
        <f t="shared" si="15"/>
        <v>#VALUE!</v>
      </c>
      <c r="E206" t="e">
        <f t="shared" si="15"/>
        <v>#VALUE!</v>
      </c>
      <c r="F206" t="e">
        <f t="shared" si="15"/>
        <v>#VALUE!</v>
      </c>
      <c r="G206" t="e">
        <f t="shared" si="15"/>
        <v>#VALUE!</v>
      </c>
      <c r="H206" t="e">
        <f t="shared" si="15"/>
        <v>#VALUE!</v>
      </c>
      <c r="I206" t="e">
        <f t="shared" si="15"/>
        <v>#VALUE!</v>
      </c>
      <c r="J206" t="e">
        <f t="shared" si="15"/>
        <v>#VALUE!</v>
      </c>
      <c r="K206" t="e">
        <f t="shared" si="15"/>
        <v>#VALUE!</v>
      </c>
      <c r="L206">
        <f t="shared" si="16"/>
        <v>0</v>
      </c>
      <c r="M206" t="str">
        <f t="shared" si="17"/>
        <v/>
      </c>
      <c r="O206" t="s">
        <v>1066</v>
      </c>
    </row>
    <row r="207" spans="1:15" x14ac:dyDescent="0.35">
      <c r="A207" t="s">
        <v>2048</v>
      </c>
      <c r="B207" t="e">
        <f t="shared" si="15"/>
        <v>#VALUE!</v>
      </c>
      <c r="C207" t="e">
        <f t="shared" si="15"/>
        <v>#VALUE!</v>
      </c>
      <c r="D207" t="e">
        <f t="shared" si="15"/>
        <v>#VALUE!</v>
      </c>
      <c r="E207" t="e">
        <f t="shared" si="15"/>
        <v>#VALUE!</v>
      </c>
      <c r="F207" t="e">
        <f t="shared" si="15"/>
        <v>#VALUE!</v>
      </c>
      <c r="G207">
        <f t="shared" si="15"/>
        <v>135</v>
      </c>
      <c r="H207" t="e">
        <f t="shared" si="15"/>
        <v>#VALUE!</v>
      </c>
      <c r="I207" t="e">
        <f t="shared" si="15"/>
        <v>#VALUE!</v>
      </c>
      <c r="J207" t="e">
        <f t="shared" si="15"/>
        <v>#VALUE!</v>
      </c>
      <c r="K207">
        <f t="shared" si="15"/>
        <v>137</v>
      </c>
      <c r="L207">
        <f t="shared" si="16"/>
        <v>272</v>
      </c>
      <c r="M207" t="str">
        <f t="shared" si="17"/>
        <v/>
      </c>
      <c r="O207" t="s">
        <v>2048</v>
      </c>
    </row>
    <row r="208" spans="1:15" x14ac:dyDescent="0.35">
      <c r="A208" t="s">
        <v>1067</v>
      </c>
      <c r="B208" t="e">
        <f t="shared" si="15"/>
        <v>#VALUE!</v>
      </c>
      <c r="C208" t="e">
        <f t="shared" si="15"/>
        <v>#VALUE!</v>
      </c>
      <c r="D208" t="e">
        <f t="shared" si="15"/>
        <v>#VALUE!</v>
      </c>
      <c r="E208" t="e">
        <f t="shared" si="15"/>
        <v>#VALUE!</v>
      </c>
      <c r="F208" t="e">
        <f t="shared" si="15"/>
        <v>#VALUE!</v>
      </c>
      <c r="G208" t="e">
        <f t="shared" si="15"/>
        <v>#VALUE!</v>
      </c>
      <c r="H208" t="e">
        <f t="shared" si="15"/>
        <v>#VALUE!</v>
      </c>
      <c r="I208" t="e">
        <f t="shared" si="15"/>
        <v>#VALUE!</v>
      </c>
      <c r="J208" t="e">
        <f t="shared" si="15"/>
        <v>#VALUE!</v>
      </c>
      <c r="K208" t="e">
        <f t="shared" si="15"/>
        <v>#VALUE!</v>
      </c>
      <c r="L208">
        <f t="shared" si="16"/>
        <v>0</v>
      </c>
      <c r="M208" t="str">
        <f t="shared" si="17"/>
        <v/>
      </c>
      <c r="O208" t="s">
        <v>1067</v>
      </c>
    </row>
    <row r="209" spans="1:15" x14ac:dyDescent="0.35">
      <c r="A209" t="s">
        <v>2049</v>
      </c>
      <c r="B209" t="e">
        <f t="shared" si="15"/>
        <v>#VALUE!</v>
      </c>
      <c r="C209" t="e">
        <f t="shared" si="15"/>
        <v>#VALUE!</v>
      </c>
      <c r="D209" t="e">
        <f t="shared" si="15"/>
        <v>#VALUE!</v>
      </c>
      <c r="E209" t="e">
        <f t="shared" si="15"/>
        <v>#VALUE!</v>
      </c>
      <c r="F209" t="e">
        <f t="shared" si="15"/>
        <v>#VALUE!</v>
      </c>
      <c r="G209">
        <f t="shared" si="15"/>
        <v>146</v>
      </c>
      <c r="H209">
        <f t="shared" si="15"/>
        <v>147</v>
      </c>
      <c r="I209">
        <f t="shared" si="15"/>
        <v>148</v>
      </c>
      <c r="J209" t="e">
        <f t="shared" si="15"/>
        <v>#VALUE!</v>
      </c>
      <c r="K209" t="e">
        <f t="shared" si="15"/>
        <v>#VALUE!</v>
      </c>
      <c r="L209">
        <f t="shared" si="16"/>
        <v>441</v>
      </c>
      <c r="M209" t="str">
        <f t="shared" si="17"/>
        <v/>
      </c>
      <c r="O209" t="s">
        <v>2049</v>
      </c>
    </row>
    <row r="210" spans="1:15" x14ac:dyDescent="0.35">
      <c r="A210" t="s">
        <v>2050</v>
      </c>
      <c r="B210" t="e">
        <f t="shared" si="15"/>
        <v>#VALUE!</v>
      </c>
      <c r="C210" t="e">
        <f t="shared" si="15"/>
        <v>#VALUE!</v>
      </c>
      <c r="D210" t="e">
        <f t="shared" si="15"/>
        <v>#VALUE!</v>
      </c>
      <c r="E210" t="e">
        <f t="shared" si="15"/>
        <v>#VALUE!</v>
      </c>
      <c r="F210" t="e">
        <f t="shared" si="15"/>
        <v>#VALUE!</v>
      </c>
      <c r="G210" t="e">
        <f t="shared" si="15"/>
        <v>#VALUE!</v>
      </c>
      <c r="H210" t="e">
        <f t="shared" si="15"/>
        <v>#VALUE!</v>
      </c>
      <c r="I210" t="e">
        <f t="shared" si="15"/>
        <v>#VALUE!</v>
      </c>
      <c r="J210" t="e">
        <f t="shared" si="15"/>
        <v>#VALUE!</v>
      </c>
      <c r="K210" t="e">
        <f t="shared" si="15"/>
        <v>#VALUE!</v>
      </c>
      <c r="L210">
        <f t="shared" si="16"/>
        <v>0</v>
      </c>
      <c r="M210" t="str">
        <f t="shared" si="17"/>
        <v/>
      </c>
      <c r="O210" t="s">
        <v>2050</v>
      </c>
    </row>
    <row r="211" spans="1:15" x14ac:dyDescent="0.35">
      <c r="A211" t="s">
        <v>2051</v>
      </c>
      <c r="B211" t="e">
        <f t="shared" si="15"/>
        <v>#VALUE!</v>
      </c>
      <c r="C211" t="e">
        <f t="shared" si="15"/>
        <v>#VALUE!</v>
      </c>
      <c r="D211" t="e">
        <f t="shared" si="15"/>
        <v>#VALUE!</v>
      </c>
      <c r="E211" t="e">
        <f t="shared" si="15"/>
        <v>#VALUE!</v>
      </c>
      <c r="F211">
        <f t="shared" si="15"/>
        <v>135</v>
      </c>
      <c r="G211">
        <f t="shared" si="15"/>
        <v>133</v>
      </c>
      <c r="H211" t="e">
        <f t="shared" si="15"/>
        <v>#VALUE!</v>
      </c>
      <c r="I211">
        <f t="shared" si="15"/>
        <v>134</v>
      </c>
      <c r="J211" t="e">
        <f t="shared" si="15"/>
        <v>#VALUE!</v>
      </c>
      <c r="K211" t="e">
        <f t="shared" si="15"/>
        <v>#VALUE!</v>
      </c>
      <c r="L211">
        <f t="shared" si="16"/>
        <v>402</v>
      </c>
      <c r="M211" t="str">
        <f t="shared" si="17"/>
        <v/>
      </c>
      <c r="O211" t="s">
        <v>2051</v>
      </c>
    </row>
    <row r="212" spans="1:15" x14ac:dyDescent="0.35">
      <c r="A212" t="s">
        <v>2052</v>
      </c>
      <c r="B212" t="e">
        <f t="shared" si="15"/>
        <v>#VALUE!</v>
      </c>
      <c r="C212" t="e">
        <f t="shared" si="15"/>
        <v>#VALUE!</v>
      </c>
      <c r="D212" t="e">
        <f t="shared" si="15"/>
        <v>#VALUE!</v>
      </c>
      <c r="E212" t="e">
        <f t="shared" si="15"/>
        <v>#VALUE!</v>
      </c>
      <c r="F212" t="e">
        <f t="shared" si="15"/>
        <v>#VALUE!</v>
      </c>
      <c r="G212" t="e">
        <f t="shared" si="15"/>
        <v>#VALUE!</v>
      </c>
      <c r="H212" t="e">
        <f t="shared" si="15"/>
        <v>#VALUE!</v>
      </c>
      <c r="I212" t="e">
        <f t="shared" si="15"/>
        <v>#VALUE!</v>
      </c>
      <c r="J212" t="e">
        <f t="shared" si="15"/>
        <v>#VALUE!</v>
      </c>
      <c r="K212" t="e">
        <f t="shared" si="15"/>
        <v>#VALUE!</v>
      </c>
      <c r="L212">
        <f t="shared" si="16"/>
        <v>0</v>
      </c>
      <c r="M212" t="str">
        <f t="shared" si="17"/>
        <v/>
      </c>
      <c r="O212" t="s">
        <v>2052</v>
      </c>
    </row>
    <row r="213" spans="1:15" x14ac:dyDescent="0.35">
      <c r="A213" t="s">
        <v>2053</v>
      </c>
      <c r="B213" t="e">
        <f t="shared" si="15"/>
        <v>#VALUE!</v>
      </c>
      <c r="C213" t="e">
        <f t="shared" si="15"/>
        <v>#VALUE!</v>
      </c>
      <c r="D213" t="e">
        <f t="shared" si="15"/>
        <v>#VALUE!</v>
      </c>
      <c r="E213" t="e">
        <f t="shared" si="15"/>
        <v>#VALUE!</v>
      </c>
      <c r="F213" t="e">
        <f t="shared" si="15"/>
        <v>#VALUE!</v>
      </c>
      <c r="G213" t="e">
        <f t="shared" si="15"/>
        <v>#VALUE!</v>
      </c>
      <c r="H213" t="e">
        <f t="shared" si="15"/>
        <v>#VALUE!</v>
      </c>
      <c r="I213" t="e">
        <f t="shared" si="15"/>
        <v>#VALUE!</v>
      </c>
      <c r="J213" t="e">
        <f t="shared" si="15"/>
        <v>#VALUE!</v>
      </c>
      <c r="K213" t="e">
        <f t="shared" si="15"/>
        <v>#VALUE!</v>
      </c>
      <c r="L213">
        <f t="shared" si="16"/>
        <v>0</v>
      </c>
      <c r="M213" t="str">
        <f t="shared" si="17"/>
        <v>Different Forms of Random Motor Activity Scaffold the Formation of Different Habits in a Simulated Robot. . . . . . . . . . . . . . . . . . . . . . . . . . . . . . . . . . . . . . . . . . . . . . . . . . . . . . . . . . . . . . . . . . . . . . . . . . . . . . . . . . . . . . . . . . . . . . . . . 582</v>
      </c>
      <c r="O213" t="s">
        <v>2110</v>
      </c>
    </row>
    <row r="214" spans="1:15" x14ac:dyDescent="0.35">
      <c r="A214" t="s">
        <v>2054</v>
      </c>
      <c r="B214" t="e">
        <f t="shared" si="15"/>
        <v>#VALUE!</v>
      </c>
      <c r="C214" t="e">
        <f t="shared" si="15"/>
        <v>#VALUE!</v>
      </c>
      <c r="D214">
        <f t="shared" si="15"/>
        <v>202</v>
      </c>
      <c r="E214" t="e">
        <f t="shared" si="15"/>
        <v>#VALUE!</v>
      </c>
      <c r="F214" t="e">
        <f t="shared" si="15"/>
        <v>#VALUE!</v>
      </c>
      <c r="G214">
        <f t="shared" ref="C214:K259" si="18">SEARCH(G$1,$A214)</f>
        <v>200</v>
      </c>
      <c r="H214" t="e">
        <f t="shared" si="18"/>
        <v>#VALUE!</v>
      </c>
      <c r="I214" t="e">
        <f t="shared" si="18"/>
        <v>#VALUE!</v>
      </c>
      <c r="J214">
        <f t="shared" si="18"/>
        <v>201</v>
      </c>
      <c r="K214" t="e">
        <f t="shared" si="18"/>
        <v>#VALUE!</v>
      </c>
      <c r="L214">
        <f t="shared" si="16"/>
        <v>603</v>
      </c>
      <c r="M214" t="str">
        <f t="shared" si="17"/>
        <v/>
      </c>
    </row>
    <row r="215" spans="1:15" x14ac:dyDescent="0.35">
      <c r="A215" t="s">
        <v>2055</v>
      </c>
      <c r="B215" t="e">
        <f t="shared" ref="B215:B259" si="19">SEARCH(B$1,$A215)</f>
        <v>#VALUE!</v>
      </c>
      <c r="C215" t="e">
        <f t="shared" si="18"/>
        <v>#VALUE!</v>
      </c>
      <c r="D215" t="e">
        <f t="shared" si="18"/>
        <v>#VALUE!</v>
      </c>
      <c r="E215" t="e">
        <f t="shared" si="18"/>
        <v>#VALUE!</v>
      </c>
      <c r="F215" t="e">
        <f t="shared" si="18"/>
        <v>#VALUE!</v>
      </c>
      <c r="G215" t="e">
        <f t="shared" si="18"/>
        <v>#VALUE!</v>
      </c>
      <c r="H215" t="e">
        <f t="shared" si="18"/>
        <v>#VALUE!</v>
      </c>
      <c r="I215" t="e">
        <f t="shared" si="18"/>
        <v>#VALUE!</v>
      </c>
      <c r="J215" t="e">
        <f t="shared" si="18"/>
        <v>#VALUE!</v>
      </c>
      <c r="K215" t="e">
        <f t="shared" si="18"/>
        <v>#VALUE!</v>
      </c>
      <c r="L215">
        <f t="shared" si="16"/>
        <v>0</v>
      </c>
      <c r="M215" t="str">
        <f t="shared" si="17"/>
        <v/>
      </c>
      <c r="O215" t="s">
        <v>2055</v>
      </c>
    </row>
    <row r="216" spans="1:15" x14ac:dyDescent="0.35">
      <c r="A216" t="s">
        <v>2056</v>
      </c>
      <c r="B216">
        <f t="shared" si="19"/>
        <v>110</v>
      </c>
      <c r="C216" t="e">
        <f t="shared" si="18"/>
        <v>#VALUE!</v>
      </c>
      <c r="D216" t="e">
        <f t="shared" si="18"/>
        <v>#VALUE!</v>
      </c>
      <c r="E216" t="e">
        <f t="shared" si="18"/>
        <v>#VALUE!</v>
      </c>
      <c r="F216" t="e">
        <f t="shared" si="18"/>
        <v>#VALUE!</v>
      </c>
      <c r="G216">
        <f t="shared" si="18"/>
        <v>108</v>
      </c>
      <c r="H216" t="e">
        <f t="shared" si="18"/>
        <v>#VALUE!</v>
      </c>
      <c r="I216" t="e">
        <f t="shared" si="18"/>
        <v>#VALUE!</v>
      </c>
      <c r="J216" t="e">
        <f t="shared" si="18"/>
        <v>#VALUE!</v>
      </c>
      <c r="K216">
        <f t="shared" si="18"/>
        <v>109</v>
      </c>
      <c r="L216">
        <f t="shared" si="16"/>
        <v>327</v>
      </c>
      <c r="M216" t="str">
        <f t="shared" si="17"/>
        <v/>
      </c>
      <c r="O216" t="s">
        <v>2056</v>
      </c>
    </row>
    <row r="217" spans="1:15" x14ac:dyDescent="0.35">
      <c r="A217" t="s">
        <v>2057</v>
      </c>
      <c r="B217" t="e">
        <f t="shared" si="19"/>
        <v>#VALUE!</v>
      </c>
      <c r="C217" t="e">
        <f t="shared" si="18"/>
        <v>#VALUE!</v>
      </c>
      <c r="D217" t="e">
        <f t="shared" si="18"/>
        <v>#VALUE!</v>
      </c>
      <c r="E217" t="e">
        <f t="shared" si="18"/>
        <v>#VALUE!</v>
      </c>
      <c r="F217" t="e">
        <f t="shared" si="18"/>
        <v>#VALUE!</v>
      </c>
      <c r="G217" t="e">
        <f t="shared" si="18"/>
        <v>#VALUE!</v>
      </c>
      <c r="H217" t="e">
        <f t="shared" si="18"/>
        <v>#VALUE!</v>
      </c>
      <c r="I217" t="e">
        <f t="shared" si="18"/>
        <v>#VALUE!</v>
      </c>
      <c r="J217" t="e">
        <f t="shared" si="18"/>
        <v>#VALUE!</v>
      </c>
      <c r="K217" t="e">
        <f t="shared" si="18"/>
        <v>#VALUE!</v>
      </c>
      <c r="L217">
        <f t="shared" si="16"/>
        <v>0</v>
      </c>
      <c r="M217" t="str">
        <f t="shared" si="17"/>
        <v/>
      </c>
      <c r="O217" t="s">
        <v>2057</v>
      </c>
    </row>
    <row r="218" spans="1:15" x14ac:dyDescent="0.35">
      <c r="A218" t="s">
        <v>2058</v>
      </c>
      <c r="B218" t="e">
        <f t="shared" si="19"/>
        <v>#VALUE!</v>
      </c>
      <c r="C218" t="e">
        <f t="shared" si="18"/>
        <v>#VALUE!</v>
      </c>
      <c r="D218" t="e">
        <f t="shared" si="18"/>
        <v>#VALUE!</v>
      </c>
      <c r="E218" t="e">
        <f t="shared" si="18"/>
        <v>#VALUE!</v>
      </c>
      <c r="F218" t="e">
        <f t="shared" si="18"/>
        <v>#VALUE!</v>
      </c>
      <c r="G218">
        <f t="shared" si="18"/>
        <v>116</v>
      </c>
      <c r="H218" t="e">
        <f t="shared" si="18"/>
        <v>#VALUE!</v>
      </c>
      <c r="I218" t="e">
        <f t="shared" si="18"/>
        <v>#VALUE!</v>
      </c>
      <c r="J218">
        <f t="shared" si="18"/>
        <v>118</v>
      </c>
      <c r="K218">
        <f t="shared" si="18"/>
        <v>117</v>
      </c>
      <c r="L218">
        <f t="shared" si="16"/>
        <v>351</v>
      </c>
      <c r="M218" t="str">
        <f t="shared" si="17"/>
        <v/>
      </c>
      <c r="O218" t="s">
        <v>2058</v>
      </c>
    </row>
    <row r="219" spans="1:15" x14ac:dyDescent="0.35">
      <c r="A219" t="s">
        <v>2059</v>
      </c>
      <c r="B219" t="e">
        <f t="shared" si="19"/>
        <v>#VALUE!</v>
      </c>
      <c r="C219" t="e">
        <f t="shared" si="18"/>
        <v>#VALUE!</v>
      </c>
      <c r="D219" t="e">
        <f t="shared" si="18"/>
        <v>#VALUE!</v>
      </c>
      <c r="E219" t="e">
        <f t="shared" si="18"/>
        <v>#VALUE!</v>
      </c>
      <c r="F219" t="e">
        <f t="shared" si="18"/>
        <v>#VALUE!</v>
      </c>
      <c r="G219" t="e">
        <f t="shared" si="18"/>
        <v>#VALUE!</v>
      </c>
      <c r="H219" t="e">
        <f t="shared" si="18"/>
        <v>#VALUE!</v>
      </c>
      <c r="I219" t="e">
        <f t="shared" si="18"/>
        <v>#VALUE!</v>
      </c>
      <c r="J219" t="e">
        <f t="shared" si="18"/>
        <v>#VALUE!</v>
      </c>
      <c r="K219" t="e">
        <f t="shared" si="18"/>
        <v>#VALUE!</v>
      </c>
      <c r="L219">
        <f t="shared" si="16"/>
        <v>0</v>
      </c>
      <c r="M219" t="str">
        <f t="shared" si="17"/>
        <v/>
      </c>
      <c r="O219" t="s">
        <v>2059</v>
      </c>
    </row>
    <row r="220" spans="1:15" x14ac:dyDescent="0.35">
      <c r="A220" t="s">
        <v>2060</v>
      </c>
      <c r="B220" t="e">
        <f t="shared" si="19"/>
        <v>#VALUE!</v>
      </c>
      <c r="C220" t="e">
        <f t="shared" si="18"/>
        <v>#VALUE!</v>
      </c>
      <c r="D220" t="e">
        <f t="shared" si="18"/>
        <v>#VALUE!</v>
      </c>
      <c r="E220" t="e">
        <f t="shared" si="18"/>
        <v>#VALUE!</v>
      </c>
      <c r="F220" t="e">
        <f t="shared" si="18"/>
        <v>#VALUE!</v>
      </c>
      <c r="G220" t="e">
        <f t="shared" si="18"/>
        <v>#VALUE!</v>
      </c>
      <c r="H220" t="e">
        <f t="shared" si="18"/>
        <v>#VALUE!</v>
      </c>
      <c r="I220" t="e">
        <f t="shared" si="18"/>
        <v>#VALUE!</v>
      </c>
      <c r="J220" t="e">
        <f t="shared" si="18"/>
        <v>#VALUE!</v>
      </c>
      <c r="K220" t="e">
        <f t="shared" si="18"/>
        <v>#VALUE!</v>
      </c>
      <c r="L220">
        <f t="shared" si="16"/>
        <v>0</v>
      </c>
      <c r="M220" t="str">
        <f t="shared" si="17"/>
        <v>Engineering Application of Non-Reciprocal-Interaction-Based (NRIB) Model: Swarm Robotic System That Can Perform Spatially Distributed Tasks in Parallel . . . . . . . . . . . . . . . . . . . . . . . . . . . . . . . . . . . . . . . . . . . . . 606</v>
      </c>
      <c r="O220" t="s">
        <v>2111</v>
      </c>
    </row>
    <row r="221" spans="1:15" x14ac:dyDescent="0.35">
      <c r="A221" t="s">
        <v>2061</v>
      </c>
      <c r="B221">
        <f t="shared" si="19"/>
        <v>149</v>
      </c>
      <c r="C221" t="e">
        <f t="shared" si="18"/>
        <v>#VALUE!</v>
      </c>
      <c r="D221" t="e">
        <f t="shared" si="18"/>
        <v>#VALUE!</v>
      </c>
      <c r="E221" t="e">
        <f t="shared" si="18"/>
        <v>#VALUE!</v>
      </c>
      <c r="F221" t="e">
        <f t="shared" si="18"/>
        <v>#VALUE!</v>
      </c>
      <c r="G221" t="e">
        <f t="shared" si="18"/>
        <v>#VALUE!</v>
      </c>
      <c r="H221">
        <f t="shared" si="18"/>
        <v>148</v>
      </c>
      <c r="I221" t="e">
        <f t="shared" si="18"/>
        <v>#VALUE!</v>
      </c>
      <c r="J221" t="e">
        <f t="shared" si="18"/>
        <v>#VALUE!</v>
      </c>
      <c r="K221" t="e">
        <f t="shared" si="18"/>
        <v>#VALUE!</v>
      </c>
      <c r="L221">
        <f t="shared" si="16"/>
        <v>297</v>
      </c>
      <c r="M221" t="str">
        <f t="shared" si="17"/>
        <v/>
      </c>
    </row>
    <row r="222" spans="1:15" x14ac:dyDescent="0.35">
      <c r="A222" t="s">
        <v>2062</v>
      </c>
      <c r="B222" t="e">
        <f t="shared" si="19"/>
        <v>#VALUE!</v>
      </c>
      <c r="C222" t="e">
        <f t="shared" si="18"/>
        <v>#VALUE!</v>
      </c>
      <c r="D222" t="e">
        <f t="shared" si="18"/>
        <v>#VALUE!</v>
      </c>
      <c r="E222" t="e">
        <f t="shared" si="18"/>
        <v>#VALUE!</v>
      </c>
      <c r="F222" t="e">
        <f t="shared" si="18"/>
        <v>#VALUE!</v>
      </c>
      <c r="G222" t="e">
        <f t="shared" si="18"/>
        <v>#VALUE!</v>
      </c>
      <c r="H222" t="e">
        <f t="shared" si="18"/>
        <v>#VALUE!</v>
      </c>
      <c r="I222" t="e">
        <f t="shared" si="18"/>
        <v>#VALUE!</v>
      </c>
      <c r="J222" t="e">
        <f t="shared" si="18"/>
        <v>#VALUE!</v>
      </c>
      <c r="K222" t="e">
        <f t="shared" si="18"/>
        <v>#VALUE!</v>
      </c>
      <c r="L222">
        <f t="shared" si="16"/>
        <v>0</v>
      </c>
      <c r="M222" t="str">
        <f t="shared" si="17"/>
        <v/>
      </c>
      <c r="O222" t="s">
        <v>2062</v>
      </c>
    </row>
    <row r="223" spans="1:15" x14ac:dyDescent="0.35">
      <c r="A223" t="s">
        <v>2063</v>
      </c>
      <c r="B223">
        <f t="shared" si="19"/>
        <v>132</v>
      </c>
      <c r="C223" t="e">
        <f t="shared" si="18"/>
        <v>#VALUE!</v>
      </c>
      <c r="D223" t="e">
        <f t="shared" si="18"/>
        <v>#VALUE!</v>
      </c>
      <c r="E223" t="e">
        <f t="shared" si="18"/>
        <v>#VALUE!</v>
      </c>
      <c r="F223" t="e">
        <f t="shared" si="18"/>
        <v>#VALUE!</v>
      </c>
      <c r="G223" t="e">
        <f t="shared" si="18"/>
        <v>#VALUE!</v>
      </c>
      <c r="H223">
        <f t="shared" si="18"/>
        <v>131</v>
      </c>
      <c r="I223" t="e">
        <f t="shared" si="18"/>
        <v>#VALUE!</v>
      </c>
      <c r="J223">
        <f t="shared" si="18"/>
        <v>133</v>
      </c>
      <c r="K223" t="e">
        <f t="shared" si="18"/>
        <v>#VALUE!</v>
      </c>
      <c r="L223">
        <f t="shared" si="16"/>
        <v>396</v>
      </c>
      <c r="M223" t="str">
        <f t="shared" si="17"/>
        <v/>
      </c>
      <c r="O223" t="s">
        <v>2063</v>
      </c>
    </row>
    <row r="224" spans="1:15" x14ac:dyDescent="0.35">
      <c r="A224" t="s">
        <v>2064</v>
      </c>
      <c r="B224" t="e">
        <f t="shared" si="19"/>
        <v>#VALUE!</v>
      </c>
      <c r="C224" t="e">
        <f t="shared" si="18"/>
        <v>#VALUE!</v>
      </c>
      <c r="D224" t="e">
        <f t="shared" si="18"/>
        <v>#VALUE!</v>
      </c>
      <c r="E224" t="e">
        <f t="shared" si="18"/>
        <v>#VALUE!</v>
      </c>
      <c r="F224" t="e">
        <f t="shared" si="18"/>
        <v>#VALUE!</v>
      </c>
      <c r="G224" t="e">
        <f t="shared" si="18"/>
        <v>#VALUE!</v>
      </c>
      <c r="H224" t="e">
        <f t="shared" si="18"/>
        <v>#VALUE!</v>
      </c>
      <c r="I224" t="e">
        <f t="shared" si="18"/>
        <v>#VALUE!</v>
      </c>
      <c r="J224" t="e">
        <f t="shared" si="18"/>
        <v>#VALUE!</v>
      </c>
      <c r="K224" t="e">
        <f t="shared" si="18"/>
        <v>#VALUE!</v>
      </c>
      <c r="L224">
        <f t="shared" si="16"/>
        <v>0</v>
      </c>
      <c r="M224" t="str">
        <f t="shared" si="17"/>
        <v/>
      </c>
      <c r="O224" t="s">
        <v>2064</v>
      </c>
    </row>
    <row r="225" spans="1:15" x14ac:dyDescent="0.35">
      <c r="A225" t="s">
        <v>2065</v>
      </c>
      <c r="B225" t="e">
        <f t="shared" si="19"/>
        <v>#VALUE!</v>
      </c>
      <c r="C225" t="e">
        <f t="shared" si="18"/>
        <v>#VALUE!</v>
      </c>
      <c r="D225" t="e">
        <f t="shared" si="18"/>
        <v>#VALUE!</v>
      </c>
      <c r="E225" t="e">
        <f t="shared" si="18"/>
        <v>#VALUE!</v>
      </c>
      <c r="F225" t="e">
        <f t="shared" si="18"/>
        <v>#VALUE!</v>
      </c>
      <c r="G225" t="e">
        <f t="shared" si="18"/>
        <v>#VALUE!</v>
      </c>
      <c r="H225" t="e">
        <f t="shared" si="18"/>
        <v>#VALUE!</v>
      </c>
      <c r="I225" t="e">
        <f t="shared" si="18"/>
        <v>#VALUE!</v>
      </c>
      <c r="J225" t="e">
        <f t="shared" si="18"/>
        <v>#VALUE!</v>
      </c>
      <c r="K225" t="e">
        <f t="shared" si="18"/>
        <v>#VALUE!</v>
      </c>
      <c r="L225">
        <f t="shared" si="16"/>
        <v>0</v>
      </c>
      <c r="M225" t="str">
        <f t="shared" si="17"/>
        <v>Applying Social Network Analysis to Agent-Based Models: A Case Study of Task Allocation in Swarm Robotics Inspired by Ant Foraging Behavior . . . . . . . . . . . . . . . . . . . . . . . . . . . . . . . . . . . . . . . . . . . . . . . . . . . 616</v>
      </c>
      <c r="O225" t="s">
        <v>2112</v>
      </c>
    </row>
    <row r="226" spans="1:15" x14ac:dyDescent="0.35">
      <c r="A226" t="s">
        <v>2066</v>
      </c>
      <c r="B226" t="e">
        <f t="shared" si="19"/>
        <v>#VALUE!</v>
      </c>
      <c r="C226">
        <f t="shared" si="18"/>
        <v>153</v>
      </c>
      <c r="D226" t="e">
        <f t="shared" si="18"/>
        <v>#VALUE!</v>
      </c>
      <c r="E226" t="e">
        <f t="shared" si="18"/>
        <v>#VALUE!</v>
      </c>
      <c r="F226" t="e">
        <f t="shared" si="18"/>
        <v>#VALUE!</v>
      </c>
      <c r="G226" t="e">
        <f t="shared" si="18"/>
        <v>#VALUE!</v>
      </c>
      <c r="H226">
        <f t="shared" si="18"/>
        <v>152</v>
      </c>
      <c r="I226" t="e">
        <f t="shared" si="18"/>
        <v>#VALUE!</v>
      </c>
      <c r="J226" t="e">
        <f t="shared" si="18"/>
        <v>#VALUE!</v>
      </c>
      <c r="K226" t="e">
        <f t="shared" si="18"/>
        <v>#VALUE!</v>
      </c>
      <c r="L226">
        <f t="shared" si="16"/>
        <v>305</v>
      </c>
      <c r="M226" t="str">
        <f t="shared" si="17"/>
        <v/>
      </c>
    </row>
    <row r="227" spans="1:15" x14ac:dyDescent="0.35">
      <c r="A227" t="s">
        <v>2067</v>
      </c>
      <c r="B227" t="e">
        <f t="shared" si="19"/>
        <v>#VALUE!</v>
      </c>
      <c r="C227" t="e">
        <f t="shared" si="18"/>
        <v>#VALUE!</v>
      </c>
      <c r="D227" t="e">
        <f t="shared" si="18"/>
        <v>#VALUE!</v>
      </c>
      <c r="E227" t="e">
        <f t="shared" si="18"/>
        <v>#VALUE!</v>
      </c>
      <c r="F227" t="e">
        <f t="shared" si="18"/>
        <v>#VALUE!</v>
      </c>
      <c r="G227" t="e">
        <f t="shared" si="18"/>
        <v>#VALUE!</v>
      </c>
      <c r="H227" t="e">
        <f t="shared" si="18"/>
        <v>#VALUE!</v>
      </c>
      <c r="I227" t="e">
        <f t="shared" si="18"/>
        <v>#VALUE!</v>
      </c>
      <c r="J227" t="e">
        <f t="shared" si="18"/>
        <v>#VALUE!</v>
      </c>
      <c r="K227" t="e">
        <f t="shared" si="18"/>
        <v>#VALUE!</v>
      </c>
      <c r="L227">
        <f t="shared" si="16"/>
        <v>0</v>
      </c>
      <c r="M227" t="str">
        <f t="shared" si="17"/>
        <v/>
      </c>
      <c r="N227" t="str">
        <f>_xlfn.CONCAT(A227," ",A228)</f>
        <v>Georgina Montserrat Res´endiz-Benhumea, Tom Froese, Gabriel Ramos-Fern´andez and Sandra E. Smith-Aguilar</v>
      </c>
      <c r="O227" t="s">
        <v>2113</v>
      </c>
    </row>
    <row r="228" spans="1:15" x14ac:dyDescent="0.35">
      <c r="A228" t="s">
        <v>2068</v>
      </c>
      <c r="B228" t="e">
        <f t="shared" si="19"/>
        <v>#VALUE!</v>
      </c>
      <c r="C228" t="e">
        <f t="shared" si="18"/>
        <v>#VALUE!</v>
      </c>
      <c r="D228" t="e">
        <f t="shared" si="18"/>
        <v>#VALUE!</v>
      </c>
      <c r="E228" t="e">
        <f t="shared" si="18"/>
        <v>#VALUE!</v>
      </c>
      <c r="F228" t="e">
        <f t="shared" si="18"/>
        <v>#VALUE!</v>
      </c>
      <c r="G228" t="e">
        <f t="shared" si="18"/>
        <v>#VALUE!</v>
      </c>
      <c r="H228" t="e">
        <f t="shared" si="18"/>
        <v>#VALUE!</v>
      </c>
      <c r="I228" t="e">
        <f t="shared" si="18"/>
        <v>#VALUE!</v>
      </c>
      <c r="J228" t="e">
        <f t="shared" si="18"/>
        <v>#VALUE!</v>
      </c>
      <c r="K228" t="e">
        <f t="shared" si="18"/>
        <v>#VALUE!</v>
      </c>
      <c r="L228">
        <f t="shared" si="16"/>
        <v>0</v>
      </c>
    </row>
    <row r="229" spans="1:15" x14ac:dyDescent="0.35">
      <c r="A229" t="s">
        <v>2069</v>
      </c>
      <c r="B229" t="e">
        <f t="shared" si="19"/>
        <v>#VALUE!</v>
      </c>
      <c r="C229" t="e">
        <f t="shared" si="18"/>
        <v>#VALUE!</v>
      </c>
      <c r="D229">
        <f t="shared" si="18"/>
        <v>164</v>
      </c>
      <c r="E229" t="e">
        <f t="shared" si="18"/>
        <v>#VALUE!</v>
      </c>
      <c r="F229">
        <f t="shared" si="18"/>
        <v>165</v>
      </c>
      <c r="G229" t="e">
        <f t="shared" si="18"/>
        <v>#VALUE!</v>
      </c>
      <c r="H229">
        <f t="shared" si="18"/>
        <v>163</v>
      </c>
      <c r="I229" t="e">
        <f t="shared" si="18"/>
        <v>#VALUE!</v>
      </c>
      <c r="J229" t="e">
        <f t="shared" si="18"/>
        <v>#VALUE!</v>
      </c>
      <c r="K229" t="e">
        <f t="shared" si="18"/>
        <v>#VALUE!</v>
      </c>
      <c r="L229">
        <f t="shared" si="16"/>
        <v>492</v>
      </c>
      <c r="M229" t="str">
        <f t="shared" si="17"/>
        <v/>
      </c>
      <c r="O229" t="s">
        <v>2069</v>
      </c>
    </row>
    <row r="230" spans="1:15" x14ac:dyDescent="0.35">
      <c r="A230" t="s">
        <v>2070</v>
      </c>
      <c r="B230" t="e">
        <f t="shared" si="19"/>
        <v>#VALUE!</v>
      </c>
      <c r="C230" t="e">
        <f t="shared" si="18"/>
        <v>#VALUE!</v>
      </c>
      <c r="D230" t="e">
        <f t="shared" si="18"/>
        <v>#VALUE!</v>
      </c>
      <c r="E230" t="e">
        <f t="shared" si="18"/>
        <v>#VALUE!</v>
      </c>
      <c r="F230" t="e">
        <f t="shared" si="18"/>
        <v>#VALUE!</v>
      </c>
      <c r="G230" t="e">
        <f t="shared" si="18"/>
        <v>#VALUE!</v>
      </c>
      <c r="H230" t="e">
        <f t="shared" si="18"/>
        <v>#VALUE!</v>
      </c>
      <c r="I230" t="e">
        <f t="shared" si="18"/>
        <v>#VALUE!</v>
      </c>
      <c r="J230" t="e">
        <f t="shared" si="18"/>
        <v>#VALUE!</v>
      </c>
      <c r="K230" t="e">
        <f t="shared" si="18"/>
        <v>#VALUE!</v>
      </c>
      <c r="L230">
        <f t="shared" si="16"/>
        <v>0</v>
      </c>
      <c r="M230" t="str">
        <f t="shared" si="17"/>
        <v/>
      </c>
      <c r="O230" t="s">
        <v>2070</v>
      </c>
    </row>
    <row r="231" spans="1:15" x14ac:dyDescent="0.35">
      <c r="A231" t="s">
        <v>2071</v>
      </c>
      <c r="B231" t="e">
        <f t="shared" si="19"/>
        <v>#VALUE!</v>
      </c>
      <c r="C231" t="e">
        <f t="shared" si="18"/>
        <v>#VALUE!</v>
      </c>
      <c r="D231">
        <f t="shared" si="18"/>
        <v>119</v>
      </c>
      <c r="E231" t="e">
        <f t="shared" si="18"/>
        <v>#VALUE!</v>
      </c>
      <c r="F231" t="e">
        <f t="shared" si="18"/>
        <v>#VALUE!</v>
      </c>
      <c r="G231" t="e">
        <f t="shared" si="18"/>
        <v>#VALUE!</v>
      </c>
      <c r="H231">
        <f t="shared" si="18"/>
        <v>118</v>
      </c>
      <c r="I231" t="e">
        <f t="shared" si="18"/>
        <v>#VALUE!</v>
      </c>
      <c r="J231" t="e">
        <f t="shared" si="18"/>
        <v>#VALUE!</v>
      </c>
      <c r="K231" t="e">
        <f t="shared" si="18"/>
        <v>#VALUE!</v>
      </c>
      <c r="L231">
        <f t="shared" si="16"/>
        <v>237</v>
      </c>
      <c r="M231" t="str">
        <f t="shared" si="17"/>
        <v/>
      </c>
      <c r="O231" t="s">
        <v>2071</v>
      </c>
    </row>
    <row r="232" spans="1:15" x14ac:dyDescent="0.35">
      <c r="A232" t="s">
        <v>2072</v>
      </c>
      <c r="B232" t="e">
        <f t="shared" si="19"/>
        <v>#VALUE!</v>
      </c>
      <c r="C232" t="e">
        <f t="shared" si="18"/>
        <v>#VALUE!</v>
      </c>
      <c r="D232" t="e">
        <f t="shared" si="18"/>
        <v>#VALUE!</v>
      </c>
      <c r="E232" t="e">
        <f t="shared" si="18"/>
        <v>#VALUE!</v>
      </c>
      <c r="F232" t="e">
        <f t="shared" si="18"/>
        <v>#VALUE!</v>
      </c>
      <c r="G232" t="e">
        <f t="shared" si="18"/>
        <v>#VALUE!</v>
      </c>
      <c r="H232" t="e">
        <f t="shared" si="18"/>
        <v>#VALUE!</v>
      </c>
      <c r="I232" t="e">
        <f t="shared" si="18"/>
        <v>#VALUE!</v>
      </c>
      <c r="J232" t="e">
        <f t="shared" si="18"/>
        <v>#VALUE!</v>
      </c>
      <c r="K232" t="e">
        <f t="shared" si="18"/>
        <v>#VALUE!</v>
      </c>
      <c r="L232">
        <f t="shared" si="16"/>
        <v>0</v>
      </c>
      <c r="M232" t="str">
        <f t="shared" si="17"/>
        <v/>
      </c>
      <c r="O232" t="s">
        <v>2072</v>
      </c>
    </row>
    <row r="233" spans="1:15" x14ac:dyDescent="0.35">
      <c r="A233" t="s">
        <v>2073</v>
      </c>
      <c r="B233" t="e">
        <f t="shared" si="19"/>
        <v>#VALUE!</v>
      </c>
      <c r="C233" t="e">
        <f t="shared" si="18"/>
        <v>#VALUE!</v>
      </c>
      <c r="D233" t="e">
        <f t="shared" si="18"/>
        <v>#VALUE!</v>
      </c>
      <c r="E233" t="e">
        <f t="shared" si="18"/>
        <v>#VALUE!</v>
      </c>
      <c r="F233" t="e">
        <f t="shared" si="18"/>
        <v>#VALUE!</v>
      </c>
      <c r="G233" t="e">
        <f t="shared" si="18"/>
        <v>#VALUE!</v>
      </c>
      <c r="H233" t="e">
        <f t="shared" si="18"/>
        <v>#VALUE!</v>
      </c>
      <c r="I233" t="e">
        <f t="shared" si="18"/>
        <v>#VALUE!</v>
      </c>
      <c r="J233" t="e">
        <f t="shared" si="18"/>
        <v>#VALUE!</v>
      </c>
      <c r="K233" t="e">
        <f t="shared" si="18"/>
        <v>#VALUE!</v>
      </c>
      <c r="L233">
        <f t="shared" si="16"/>
        <v>0</v>
      </c>
      <c r="M233" t="str">
        <f t="shared" si="17"/>
        <v>Collective Event Detection Using Bio-inspired Minimalistic Communication in a Swarm of Underwater Robots . . . . . . . . . . . . . . . . . . . . . . . . . . . . . . . . . . . . . . . . . . . . . . . . . . . . . . . . . . . . . . . . . . . . . . . . . . . . . . . . . . . 634</v>
      </c>
      <c r="O233" t="s">
        <v>2114</v>
      </c>
    </row>
    <row r="234" spans="1:15" x14ac:dyDescent="0.35">
      <c r="A234" t="s">
        <v>2074</v>
      </c>
      <c r="B234" t="e">
        <f t="shared" si="19"/>
        <v>#VALUE!</v>
      </c>
      <c r="C234" t="e">
        <f t="shared" si="18"/>
        <v>#VALUE!</v>
      </c>
      <c r="D234" t="e">
        <f t="shared" si="18"/>
        <v>#VALUE!</v>
      </c>
      <c r="E234">
        <f t="shared" si="18"/>
        <v>186</v>
      </c>
      <c r="F234">
        <f t="shared" si="18"/>
        <v>187</v>
      </c>
      <c r="G234" t="e">
        <f t="shared" si="18"/>
        <v>#VALUE!</v>
      </c>
      <c r="H234">
        <f t="shared" si="18"/>
        <v>185</v>
      </c>
      <c r="I234" t="e">
        <f t="shared" si="18"/>
        <v>#VALUE!</v>
      </c>
      <c r="J234" t="e">
        <f t="shared" si="18"/>
        <v>#VALUE!</v>
      </c>
      <c r="K234" t="e">
        <f t="shared" si="18"/>
        <v>#VALUE!</v>
      </c>
      <c r="L234">
        <f t="shared" si="16"/>
        <v>558</v>
      </c>
      <c r="M234" t="str">
        <f t="shared" si="17"/>
        <v/>
      </c>
    </row>
    <row r="235" spans="1:15" x14ac:dyDescent="0.35">
      <c r="A235" t="s">
        <v>2075</v>
      </c>
      <c r="B235" t="e">
        <f t="shared" si="19"/>
        <v>#VALUE!</v>
      </c>
      <c r="C235" t="e">
        <f t="shared" si="18"/>
        <v>#VALUE!</v>
      </c>
      <c r="D235" t="e">
        <f t="shared" si="18"/>
        <v>#VALUE!</v>
      </c>
      <c r="E235" t="e">
        <f t="shared" si="18"/>
        <v>#VALUE!</v>
      </c>
      <c r="F235" t="e">
        <f t="shared" si="18"/>
        <v>#VALUE!</v>
      </c>
      <c r="G235" t="e">
        <f t="shared" si="18"/>
        <v>#VALUE!</v>
      </c>
      <c r="H235" t="e">
        <f t="shared" si="18"/>
        <v>#VALUE!</v>
      </c>
      <c r="I235" t="e">
        <f t="shared" si="18"/>
        <v>#VALUE!</v>
      </c>
      <c r="J235" t="e">
        <f t="shared" si="18"/>
        <v>#VALUE!</v>
      </c>
      <c r="K235" t="e">
        <f t="shared" si="18"/>
        <v>#VALUE!</v>
      </c>
      <c r="L235">
        <f t="shared" si="16"/>
        <v>0</v>
      </c>
      <c r="M235" t="str">
        <f t="shared" si="17"/>
        <v/>
      </c>
      <c r="N235" t="str">
        <f>_xlfn.CONCAT(A235," ",A236)</f>
        <v>Joshua Cherian Varughese, Hannes Hornischer, Ronald Thenius, Franz Wotawa and Thomas Schmickl</v>
      </c>
      <c r="O235" t="s">
        <v>2115</v>
      </c>
    </row>
    <row r="236" spans="1:15" x14ac:dyDescent="0.35">
      <c r="A236" t="s">
        <v>2076</v>
      </c>
      <c r="B236" t="e">
        <f t="shared" si="19"/>
        <v>#VALUE!</v>
      </c>
      <c r="C236" t="e">
        <f t="shared" si="18"/>
        <v>#VALUE!</v>
      </c>
      <c r="D236" t="e">
        <f t="shared" si="18"/>
        <v>#VALUE!</v>
      </c>
      <c r="E236" t="e">
        <f t="shared" si="18"/>
        <v>#VALUE!</v>
      </c>
      <c r="F236" t="e">
        <f t="shared" si="18"/>
        <v>#VALUE!</v>
      </c>
      <c r="G236" t="e">
        <f t="shared" si="18"/>
        <v>#VALUE!</v>
      </c>
      <c r="H236" t="e">
        <f t="shared" si="18"/>
        <v>#VALUE!</v>
      </c>
      <c r="I236" t="e">
        <f t="shared" si="18"/>
        <v>#VALUE!</v>
      </c>
      <c r="J236" t="e">
        <f t="shared" si="18"/>
        <v>#VALUE!</v>
      </c>
      <c r="K236" t="e">
        <f t="shared" si="18"/>
        <v>#VALUE!</v>
      </c>
      <c r="L236">
        <f t="shared" si="16"/>
        <v>0</v>
      </c>
    </row>
    <row r="237" spans="1:15" x14ac:dyDescent="0.35">
      <c r="A237" t="s">
        <v>2077</v>
      </c>
      <c r="B237" t="e">
        <f t="shared" si="19"/>
        <v>#VALUE!</v>
      </c>
      <c r="C237" t="e">
        <f t="shared" si="18"/>
        <v>#VALUE!</v>
      </c>
      <c r="D237" t="e">
        <f t="shared" si="18"/>
        <v>#VALUE!</v>
      </c>
      <c r="E237" t="e">
        <f t="shared" si="18"/>
        <v>#VALUE!</v>
      </c>
      <c r="F237" t="e">
        <f t="shared" si="18"/>
        <v>#VALUE!</v>
      </c>
      <c r="G237" t="e">
        <f t="shared" si="18"/>
        <v>#VALUE!</v>
      </c>
      <c r="H237" t="e">
        <f t="shared" si="18"/>
        <v>#VALUE!</v>
      </c>
      <c r="I237" t="e">
        <f t="shared" si="18"/>
        <v>#VALUE!</v>
      </c>
      <c r="J237" t="e">
        <f t="shared" si="18"/>
        <v>#VALUE!</v>
      </c>
      <c r="K237" t="e">
        <f t="shared" si="18"/>
        <v>#VALUE!</v>
      </c>
      <c r="L237">
        <f t="shared" si="16"/>
        <v>0</v>
      </c>
      <c r="M237" t="str">
        <f t="shared" si="17"/>
        <v>Collective Change Detection: Adaptivity to Dynamic Swarm Densities and Light Conditions in Robot Swarms . . . . . . . . . . . . . . . . . . . . . . . . . . . . . . . . . . . . . . . . . . . . . . . . . . . . . . . . . . . . . . . . . . . . . . . . . . . . . . . . . . . . . . . . 642</v>
      </c>
      <c r="O237" t="s">
        <v>2116</v>
      </c>
    </row>
    <row r="238" spans="1:15" x14ac:dyDescent="0.35">
      <c r="A238" t="s">
        <v>2078</v>
      </c>
      <c r="B238" t="e">
        <f t="shared" si="19"/>
        <v>#VALUE!</v>
      </c>
      <c r="C238" t="e">
        <f t="shared" si="18"/>
        <v>#VALUE!</v>
      </c>
      <c r="D238">
        <f t="shared" si="18"/>
        <v>192</v>
      </c>
      <c r="E238" t="e">
        <f t="shared" si="18"/>
        <v>#VALUE!</v>
      </c>
      <c r="F238">
        <f t="shared" si="18"/>
        <v>191</v>
      </c>
      <c r="G238" t="e">
        <f t="shared" si="18"/>
        <v>#VALUE!</v>
      </c>
      <c r="H238">
        <f t="shared" si="18"/>
        <v>190</v>
      </c>
      <c r="I238" t="e">
        <f t="shared" si="18"/>
        <v>#VALUE!</v>
      </c>
      <c r="J238" t="e">
        <f t="shared" si="18"/>
        <v>#VALUE!</v>
      </c>
      <c r="K238" t="e">
        <f t="shared" si="18"/>
        <v>#VALUE!</v>
      </c>
      <c r="L238">
        <f t="shared" si="16"/>
        <v>573</v>
      </c>
      <c r="M238" t="str">
        <f t="shared" si="17"/>
        <v/>
      </c>
    </row>
    <row r="239" spans="1:15" x14ac:dyDescent="0.35">
      <c r="A239" t="s">
        <v>2079</v>
      </c>
      <c r="B239" t="e">
        <f t="shared" si="19"/>
        <v>#VALUE!</v>
      </c>
      <c r="C239" t="e">
        <f t="shared" si="18"/>
        <v>#VALUE!</v>
      </c>
      <c r="D239" t="e">
        <f t="shared" si="18"/>
        <v>#VALUE!</v>
      </c>
      <c r="E239" t="e">
        <f t="shared" si="18"/>
        <v>#VALUE!</v>
      </c>
      <c r="F239" t="e">
        <f t="shared" si="18"/>
        <v>#VALUE!</v>
      </c>
      <c r="G239" t="e">
        <f t="shared" si="18"/>
        <v>#VALUE!</v>
      </c>
      <c r="H239" t="e">
        <f t="shared" si="18"/>
        <v>#VALUE!</v>
      </c>
      <c r="I239" t="e">
        <f t="shared" si="18"/>
        <v>#VALUE!</v>
      </c>
      <c r="J239" t="e">
        <f t="shared" si="18"/>
        <v>#VALUE!</v>
      </c>
      <c r="K239" t="e">
        <f t="shared" si="18"/>
        <v>#VALUE!</v>
      </c>
      <c r="L239">
        <f t="shared" si="16"/>
        <v>0</v>
      </c>
      <c r="M239" t="str">
        <f t="shared" si="17"/>
        <v/>
      </c>
      <c r="O239" t="s">
        <v>2079</v>
      </c>
    </row>
    <row r="240" spans="1:15" x14ac:dyDescent="0.35">
      <c r="A240" t="s">
        <v>2080</v>
      </c>
      <c r="B240">
        <f t="shared" si="19"/>
        <v>136</v>
      </c>
      <c r="C240" t="e">
        <f t="shared" si="18"/>
        <v>#VALUE!</v>
      </c>
      <c r="D240" t="e">
        <f t="shared" si="18"/>
        <v>#VALUE!</v>
      </c>
      <c r="E240" t="e">
        <f t="shared" si="18"/>
        <v>#VALUE!</v>
      </c>
      <c r="F240" t="e">
        <f t="shared" si="18"/>
        <v>#VALUE!</v>
      </c>
      <c r="G240">
        <f t="shared" si="18"/>
        <v>135</v>
      </c>
      <c r="H240">
        <f t="shared" si="18"/>
        <v>134</v>
      </c>
      <c r="I240" t="e">
        <f t="shared" si="18"/>
        <v>#VALUE!</v>
      </c>
      <c r="J240" t="e">
        <f t="shared" si="18"/>
        <v>#VALUE!</v>
      </c>
      <c r="K240" t="e">
        <f t="shared" si="18"/>
        <v>#VALUE!</v>
      </c>
      <c r="L240">
        <f t="shared" si="16"/>
        <v>405</v>
      </c>
      <c r="M240" t="str">
        <f t="shared" si="17"/>
        <v/>
      </c>
      <c r="O240" t="s">
        <v>2080</v>
      </c>
    </row>
    <row r="241" spans="1:15" x14ac:dyDescent="0.35">
      <c r="A241" t="s">
        <v>2081</v>
      </c>
      <c r="B241" t="e">
        <f t="shared" si="19"/>
        <v>#VALUE!</v>
      </c>
      <c r="C241" t="e">
        <f t="shared" si="18"/>
        <v>#VALUE!</v>
      </c>
      <c r="D241" t="e">
        <f t="shared" si="18"/>
        <v>#VALUE!</v>
      </c>
      <c r="E241" t="e">
        <f t="shared" si="18"/>
        <v>#VALUE!</v>
      </c>
      <c r="F241" t="e">
        <f t="shared" si="18"/>
        <v>#VALUE!</v>
      </c>
      <c r="G241" t="e">
        <f t="shared" si="18"/>
        <v>#VALUE!</v>
      </c>
      <c r="H241" t="e">
        <f t="shared" si="18"/>
        <v>#VALUE!</v>
      </c>
      <c r="I241" t="e">
        <f t="shared" si="18"/>
        <v>#VALUE!</v>
      </c>
      <c r="J241" t="e">
        <f t="shared" si="18"/>
        <v>#VALUE!</v>
      </c>
      <c r="K241" t="e">
        <f t="shared" si="18"/>
        <v>#VALUE!</v>
      </c>
      <c r="L241">
        <f t="shared" si="16"/>
        <v>0</v>
      </c>
      <c r="M241" t="str">
        <f t="shared" si="17"/>
        <v/>
      </c>
      <c r="O241" t="s">
        <v>2081</v>
      </c>
    </row>
    <row r="242" spans="1:15" x14ac:dyDescent="0.35">
      <c r="A242" t="s">
        <v>2082</v>
      </c>
      <c r="B242" t="e">
        <f t="shared" si="19"/>
        <v>#VALUE!</v>
      </c>
      <c r="C242" t="e">
        <f t="shared" si="18"/>
        <v>#VALUE!</v>
      </c>
      <c r="D242">
        <f t="shared" si="18"/>
        <v>134</v>
      </c>
      <c r="E242" t="e">
        <f t="shared" si="18"/>
        <v>#VALUE!</v>
      </c>
      <c r="F242" t="e">
        <f t="shared" si="18"/>
        <v>#VALUE!</v>
      </c>
      <c r="G242">
        <f t="shared" si="18"/>
        <v>133</v>
      </c>
      <c r="H242">
        <f t="shared" si="18"/>
        <v>132</v>
      </c>
      <c r="I242" t="e">
        <f t="shared" si="18"/>
        <v>#VALUE!</v>
      </c>
      <c r="J242" t="e">
        <f t="shared" ref="C242:K259" si="20">SEARCH(J$1,$A242)</f>
        <v>#VALUE!</v>
      </c>
      <c r="K242" t="e">
        <f t="shared" si="20"/>
        <v>#VALUE!</v>
      </c>
      <c r="L242">
        <f t="shared" si="16"/>
        <v>399</v>
      </c>
      <c r="M242" t="str">
        <f t="shared" si="17"/>
        <v/>
      </c>
      <c r="O242" t="s">
        <v>2082</v>
      </c>
    </row>
    <row r="243" spans="1:15" x14ac:dyDescent="0.35">
      <c r="A243" t="s">
        <v>2083</v>
      </c>
      <c r="B243" t="e">
        <f t="shared" si="19"/>
        <v>#VALUE!</v>
      </c>
      <c r="C243" t="e">
        <f t="shared" si="20"/>
        <v>#VALUE!</v>
      </c>
      <c r="D243" t="e">
        <f t="shared" si="20"/>
        <v>#VALUE!</v>
      </c>
      <c r="E243" t="e">
        <f t="shared" si="20"/>
        <v>#VALUE!</v>
      </c>
      <c r="F243" t="e">
        <f t="shared" si="20"/>
        <v>#VALUE!</v>
      </c>
      <c r="G243" t="e">
        <f t="shared" si="20"/>
        <v>#VALUE!</v>
      </c>
      <c r="H243" t="e">
        <f t="shared" si="20"/>
        <v>#VALUE!</v>
      </c>
      <c r="I243" t="e">
        <f t="shared" si="20"/>
        <v>#VALUE!</v>
      </c>
      <c r="J243" t="e">
        <f t="shared" si="20"/>
        <v>#VALUE!</v>
      </c>
      <c r="K243" t="e">
        <f t="shared" si="20"/>
        <v>#VALUE!</v>
      </c>
      <c r="L243">
        <f t="shared" si="16"/>
        <v>0</v>
      </c>
      <c r="M243" t="str">
        <f t="shared" si="17"/>
        <v/>
      </c>
      <c r="O243" t="s">
        <v>2083</v>
      </c>
    </row>
    <row r="244" spans="1:15" x14ac:dyDescent="0.35">
      <c r="A244" t="s">
        <v>2084</v>
      </c>
      <c r="B244" t="e">
        <f t="shared" si="19"/>
        <v>#VALUE!</v>
      </c>
      <c r="C244" t="e">
        <f t="shared" si="20"/>
        <v>#VALUE!</v>
      </c>
      <c r="D244" t="e">
        <f t="shared" si="20"/>
        <v>#VALUE!</v>
      </c>
      <c r="E244" t="e">
        <f t="shared" si="20"/>
        <v>#VALUE!</v>
      </c>
      <c r="F244">
        <f t="shared" si="20"/>
        <v>148</v>
      </c>
      <c r="G244">
        <f t="shared" si="20"/>
        <v>147</v>
      </c>
      <c r="H244">
        <f t="shared" si="20"/>
        <v>146</v>
      </c>
      <c r="I244" t="e">
        <f t="shared" si="20"/>
        <v>#VALUE!</v>
      </c>
      <c r="J244" t="e">
        <f t="shared" si="20"/>
        <v>#VALUE!</v>
      </c>
      <c r="K244" t="e">
        <f t="shared" si="20"/>
        <v>#VALUE!</v>
      </c>
      <c r="L244">
        <f t="shared" si="16"/>
        <v>441</v>
      </c>
      <c r="M244" t="str">
        <f t="shared" si="17"/>
        <v/>
      </c>
      <c r="O244" t="s">
        <v>2084</v>
      </c>
    </row>
    <row r="245" spans="1:15" x14ac:dyDescent="0.35">
      <c r="A245" t="s">
        <v>2085</v>
      </c>
      <c r="B245" t="e">
        <f t="shared" si="19"/>
        <v>#VALUE!</v>
      </c>
      <c r="C245" t="e">
        <f t="shared" si="20"/>
        <v>#VALUE!</v>
      </c>
      <c r="D245" t="e">
        <f t="shared" si="20"/>
        <v>#VALUE!</v>
      </c>
      <c r="E245" t="e">
        <f t="shared" si="20"/>
        <v>#VALUE!</v>
      </c>
      <c r="F245" t="e">
        <f t="shared" si="20"/>
        <v>#VALUE!</v>
      </c>
      <c r="G245" t="e">
        <f t="shared" si="20"/>
        <v>#VALUE!</v>
      </c>
      <c r="H245" t="e">
        <f t="shared" si="20"/>
        <v>#VALUE!</v>
      </c>
      <c r="I245" t="e">
        <f t="shared" si="20"/>
        <v>#VALUE!</v>
      </c>
      <c r="J245" t="e">
        <f t="shared" si="20"/>
        <v>#VALUE!</v>
      </c>
      <c r="K245" t="e">
        <f t="shared" si="20"/>
        <v>#VALUE!</v>
      </c>
      <c r="L245">
        <f t="shared" si="16"/>
        <v>0</v>
      </c>
      <c r="M245" t="str">
        <f t="shared" si="17"/>
        <v/>
      </c>
      <c r="O245" t="s">
        <v>2085</v>
      </c>
    </row>
    <row r="246" spans="1:15" x14ac:dyDescent="0.35">
      <c r="A246" t="s">
        <v>2086</v>
      </c>
      <c r="B246" t="e">
        <f t="shared" si="19"/>
        <v>#VALUE!</v>
      </c>
      <c r="C246" t="e">
        <f t="shared" si="20"/>
        <v>#VALUE!</v>
      </c>
      <c r="D246" t="e">
        <f t="shared" si="20"/>
        <v>#VALUE!</v>
      </c>
      <c r="E246" t="e">
        <f t="shared" si="20"/>
        <v>#VALUE!</v>
      </c>
      <c r="F246" t="e">
        <f t="shared" si="20"/>
        <v>#VALUE!</v>
      </c>
      <c r="G246">
        <f t="shared" si="20"/>
        <v>109</v>
      </c>
      <c r="H246">
        <f t="shared" si="20"/>
        <v>108</v>
      </c>
      <c r="I246" t="e">
        <f t="shared" si="20"/>
        <v>#VALUE!</v>
      </c>
      <c r="J246" t="e">
        <f t="shared" si="20"/>
        <v>#VALUE!</v>
      </c>
      <c r="K246" t="e">
        <f t="shared" si="20"/>
        <v>#VALUE!</v>
      </c>
      <c r="L246">
        <f t="shared" si="16"/>
        <v>217</v>
      </c>
      <c r="M246" t="str">
        <f t="shared" si="17"/>
        <v/>
      </c>
      <c r="O246" t="s">
        <v>2086</v>
      </c>
    </row>
    <row r="247" spans="1:15" x14ac:dyDescent="0.35">
      <c r="A247" t="s">
        <v>643</v>
      </c>
      <c r="B247" t="e">
        <f t="shared" si="19"/>
        <v>#VALUE!</v>
      </c>
      <c r="C247" t="e">
        <f t="shared" si="20"/>
        <v>#VALUE!</v>
      </c>
      <c r="D247" t="e">
        <f t="shared" si="20"/>
        <v>#VALUE!</v>
      </c>
      <c r="E247" t="e">
        <f t="shared" si="20"/>
        <v>#VALUE!</v>
      </c>
      <c r="F247" t="e">
        <f t="shared" si="20"/>
        <v>#VALUE!</v>
      </c>
      <c r="G247" t="e">
        <f t="shared" si="20"/>
        <v>#VALUE!</v>
      </c>
      <c r="H247" t="e">
        <f t="shared" si="20"/>
        <v>#VALUE!</v>
      </c>
      <c r="I247" t="e">
        <f t="shared" si="20"/>
        <v>#VALUE!</v>
      </c>
      <c r="J247" t="e">
        <f t="shared" si="20"/>
        <v>#VALUE!</v>
      </c>
      <c r="K247" t="e">
        <f t="shared" si="20"/>
        <v>#VALUE!</v>
      </c>
      <c r="L247">
        <f t="shared" si="16"/>
        <v>0</v>
      </c>
      <c r="M247" t="str">
        <f t="shared" si="17"/>
        <v/>
      </c>
      <c r="O247" t="s">
        <v>643</v>
      </c>
    </row>
    <row r="248" spans="1:15" x14ac:dyDescent="0.35">
      <c r="A248" t="s">
        <v>2087</v>
      </c>
      <c r="B248" t="e">
        <f t="shared" si="19"/>
        <v>#VALUE!</v>
      </c>
      <c r="C248" t="e">
        <f t="shared" si="20"/>
        <v>#VALUE!</v>
      </c>
      <c r="D248" t="e">
        <f t="shared" si="20"/>
        <v>#VALUE!</v>
      </c>
      <c r="E248" t="e">
        <f t="shared" si="20"/>
        <v>#VALUE!</v>
      </c>
      <c r="F248" t="e">
        <f t="shared" si="20"/>
        <v>#VALUE!</v>
      </c>
      <c r="G248">
        <f t="shared" si="20"/>
        <v>121</v>
      </c>
      <c r="H248">
        <f t="shared" si="20"/>
        <v>120</v>
      </c>
      <c r="I248" t="e">
        <f t="shared" si="20"/>
        <v>#VALUE!</v>
      </c>
      <c r="J248">
        <f t="shared" si="20"/>
        <v>122</v>
      </c>
      <c r="K248" t="e">
        <f t="shared" si="20"/>
        <v>#VALUE!</v>
      </c>
      <c r="L248">
        <f t="shared" si="16"/>
        <v>363</v>
      </c>
      <c r="M248" t="str">
        <f t="shared" si="17"/>
        <v/>
      </c>
      <c r="O248" t="s">
        <v>2087</v>
      </c>
    </row>
    <row r="249" spans="1:15" x14ac:dyDescent="0.35">
      <c r="A249" t="s">
        <v>2088</v>
      </c>
      <c r="B249" t="e">
        <f t="shared" si="19"/>
        <v>#VALUE!</v>
      </c>
      <c r="C249" t="e">
        <f t="shared" si="20"/>
        <v>#VALUE!</v>
      </c>
      <c r="D249" t="e">
        <f t="shared" si="20"/>
        <v>#VALUE!</v>
      </c>
      <c r="E249" t="e">
        <f t="shared" si="20"/>
        <v>#VALUE!</v>
      </c>
      <c r="F249" t="e">
        <f t="shared" si="20"/>
        <v>#VALUE!</v>
      </c>
      <c r="G249" t="e">
        <f t="shared" si="20"/>
        <v>#VALUE!</v>
      </c>
      <c r="H249" t="e">
        <f t="shared" si="20"/>
        <v>#VALUE!</v>
      </c>
      <c r="I249" t="e">
        <f t="shared" si="20"/>
        <v>#VALUE!</v>
      </c>
      <c r="J249" t="e">
        <f t="shared" si="20"/>
        <v>#VALUE!</v>
      </c>
      <c r="K249" t="e">
        <f t="shared" si="20"/>
        <v>#VALUE!</v>
      </c>
      <c r="L249">
        <f t="shared" si="16"/>
        <v>0</v>
      </c>
      <c r="M249" t="str">
        <f t="shared" si="17"/>
        <v/>
      </c>
      <c r="O249" t="s">
        <v>2088</v>
      </c>
    </row>
    <row r="250" spans="1:15" x14ac:dyDescent="0.35">
      <c r="B250" t="e">
        <f t="shared" si="19"/>
        <v>#VALUE!</v>
      </c>
      <c r="C250" t="e">
        <f t="shared" si="20"/>
        <v>#VALUE!</v>
      </c>
      <c r="D250" t="e">
        <f t="shared" si="20"/>
        <v>#VALUE!</v>
      </c>
      <c r="E250" t="e">
        <f t="shared" si="20"/>
        <v>#VALUE!</v>
      </c>
      <c r="F250" t="e">
        <f t="shared" si="20"/>
        <v>#VALUE!</v>
      </c>
      <c r="G250" t="e">
        <f t="shared" si="20"/>
        <v>#VALUE!</v>
      </c>
      <c r="H250" t="e">
        <f t="shared" si="20"/>
        <v>#VALUE!</v>
      </c>
      <c r="I250" t="e">
        <f t="shared" si="20"/>
        <v>#VALUE!</v>
      </c>
      <c r="J250" t="e">
        <f t="shared" si="20"/>
        <v>#VALUE!</v>
      </c>
      <c r="K250" t="e">
        <f t="shared" si="20"/>
        <v>#VALUE!</v>
      </c>
      <c r="L250">
        <f t="shared" si="16"/>
        <v>0</v>
      </c>
      <c r="M250" t="str">
        <f t="shared" si="17"/>
        <v xml:space="preserve"> </v>
      </c>
    </row>
    <row r="251" spans="1:15" x14ac:dyDescent="0.35">
      <c r="B251" t="e">
        <f t="shared" si="19"/>
        <v>#VALUE!</v>
      </c>
      <c r="C251" t="e">
        <f t="shared" si="20"/>
        <v>#VALUE!</v>
      </c>
      <c r="D251" t="e">
        <f t="shared" si="20"/>
        <v>#VALUE!</v>
      </c>
      <c r="E251" t="e">
        <f t="shared" si="20"/>
        <v>#VALUE!</v>
      </c>
      <c r="F251" t="e">
        <f t="shared" si="20"/>
        <v>#VALUE!</v>
      </c>
      <c r="G251" t="e">
        <f t="shared" si="20"/>
        <v>#VALUE!</v>
      </c>
      <c r="H251" t="e">
        <f t="shared" si="20"/>
        <v>#VALUE!</v>
      </c>
      <c r="I251" t="e">
        <f t="shared" si="20"/>
        <v>#VALUE!</v>
      </c>
      <c r="J251" t="e">
        <f t="shared" si="20"/>
        <v>#VALUE!</v>
      </c>
      <c r="K251" t="e">
        <f t="shared" si="20"/>
        <v>#VALUE!</v>
      </c>
      <c r="L251">
        <f t="shared" si="16"/>
        <v>0</v>
      </c>
      <c r="M251" t="str">
        <f t="shared" si="17"/>
        <v xml:space="preserve"> </v>
      </c>
    </row>
    <row r="252" spans="1:15" x14ac:dyDescent="0.35">
      <c r="B252" t="e">
        <f t="shared" si="19"/>
        <v>#VALUE!</v>
      </c>
      <c r="C252" t="e">
        <f t="shared" si="20"/>
        <v>#VALUE!</v>
      </c>
      <c r="D252" t="e">
        <f t="shared" si="20"/>
        <v>#VALUE!</v>
      </c>
      <c r="E252" t="e">
        <f t="shared" si="20"/>
        <v>#VALUE!</v>
      </c>
      <c r="F252" t="e">
        <f t="shared" si="20"/>
        <v>#VALUE!</v>
      </c>
      <c r="G252" t="e">
        <f t="shared" si="20"/>
        <v>#VALUE!</v>
      </c>
      <c r="H252" t="e">
        <f t="shared" si="20"/>
        <v>#VALUE!</v>
      </c>
      <c r="I252" t="e">
        <f t="shared" si="20"/>
        <v>#VALUE!</v>
      </c>
      <c r="J252" t="e">
        <f t="shared" si="20"/>
        <v>#VALUE!</v>
      </c>
      <c r="K252" t="e">
        <f t="shared" si="20"/>
        <v>#VALUE!</v>
      </c>
      <c r="L252">
        <f t="shared" si="16"/>
        <v>0</v>
      </c>
      <c r="M252" t="str">
        <f t="shared" si="17"/>
        <v xml:space="preserve"> </v>
      </c>
    </row>
    <row r="253" spans="1:15" x14ac:dyDescent="0.35">
      <c r="B253" t="e">
        <f t="shared" si="19"/>
        <v>#VALUE!</v>
      </c>
      <c r="C253" t="e">
        <f t="shared" si="20"/>
        <v>#VALUE!</v>
      </c>
      <c r="D253" t="e">
        <f t="shared" si="20"/>
        <v>#VALUE!</v>
      </c>
      <c r="E253" t="e">
        <f t="shared" si="20"/>
        <v>#VALUE!</v>
      </c>
      <c r="F253" t="e">
        <f t="shared" si="20"/>
        <v>#VALUE!</v>
      </c>
      <c r="G253" t="e">
        <f t="shared" si="20"/>
        <v>#VALUE!</v>
      </c>
      <c r="H253" t="e">
        <f t="shared" si="20"/>
        <v>#VALUE!</v>
      </c>
      <c r="I253" t="e">
        <f t="shared" si="20"/>
        <v>#VALUE!</v>
      </c>
      <c r="J253" t="e">
        <f t="shared" si="20"/>
        <v>#VALUE!</v>
      </c>
      <c r="K253" t="e">
        <f t="shared" si="20"/>
        <v>#VALUE!</v>
      </c>
      <c r="L253">
        <f t="shared" si="16"/>
        <v>0</v>
      </c>
      <c r="M253" t="str">
        <f t="shared" si="17"/>
        <v xml:space="preserve"> </v>
      </c>
    </row>
    <row r="254" spans="1:15" x14ac:dyDescent="0.35">
      <c r="B254" t="e">
        <f t="shared" si="19"/>
        <v>#VALUE!</v>
      </c>
      <c r="C254" t="e">
        <f t="shared" si="20"/>
        <v>#VALUE!</v>
      </c>
      <c r="D254" t="e">
        <f t="shared" si="20"/>
        <v>#VALUE!</v>
      </c>
      <c r="E254" t="e">
        <f t="shared" si="20"/>
        <v>#VALUE!</v>
      </c>
      <c r="F254" t="e">
        <f t="shared" si="20"/>
        <v>#VALUE!</v>
      </c>
      <c r="G254" t="e">
        <f t="shared" si="20"/>
        <v>#VALUE!</v>
      </c>
      <c r="H254" t="e">
        <f t="shared" si="20"/>
        <v>#VALUE!</v>
      </c>
      <c r="I254" t="e">
        <f t="shared" si="20"/>
        <v>#VALUE!</v>
      </c>
      <c r="J254" t="e">
        <f t="shared" si="20"/>
        <v>#VALUE!</v>
      </c>
      <c r="K254" t="e">
        <f t="shared" si="20"/>
        <v>#VALUE!</v>
      </c>
      <c r="L254">
        <f t="shared" si="16"/>
        <v>0</v>
      </c>
      <c r="M254" t="str">
        <f t="shared" si="17"/>
        <v xml:space="preserve"> </v>
      </c>
    </row>
    <row r="255" spans="1:15" x14ac:dyDescent="0.35">
      <c r="B255" t="e">
        <f t="shared" si="19"/>
        <v>#VALUE!</v>
      </c>
      <c r="C255" t="e">
        <f t="shared" si="20"/>
        <v>#VALUE!</v>
      </c>
      <c r="D255" t="e">
        <f t="shared" si="20"/>
        <v>#VALUE!</v>
      </c>
      <c r="E255" t="e">
        <f t="shared" si="20"/>
        <v>#VALUE!</v>
      </c>
      <c r="F255" t="e">
        <f t="shared" si="20"/>
        <v>#VALUE!</v>
      </c>
      <c r="G255" t="e">
        <f t="shared" si="20"/>
        <v>#VALUE!</v>
      </c>
      <c r="H255" t="e">
        <f t="shared" si="20"/>
        <v>#VALUE!</v>
      </c>
      <c r="I255" t="e">
        <f t="shared" si="20"/>
        <v>#VALUE!</v>
      </c>
      <c r="J255" t="e">
        <f t="shared" si="20"/>
        <v>#VALUE!</v>
      </c>
      <c r="K255" t="e">
        <f t="shared" si="20"/>
        <v>#VALUE!</v>
      </c>
      <c r="L255">
        <f t="shared" si="16"/>
        <v>0</v>
      </c>
      <c r="M255" t="str">
        <f t="shared" si="17"/>
        <v xml:space="preserve"> </v>
      </c>
    </row>
    <row r="256" spans="1:15" x14ac:dyDescent="0.35">
      <c r="B256" t="e">
        <f t="shared" si="19"/>
        <v>#VALUE!</v>
      </c>
      <c r="C256" t="e">
        <f t="shared" si="20"/>
        <v>#VALUE!</v>
      </c>
      <c r="D256" t="e">
        <f t="shared" si="20"/>
        <v>#VALUE!</v>
      </c>
      <c r="E256" t="e">
        <f t="shared" si="20"/>
        <v>#VALUE!</v>
      </c>
      <c r="F256" t="e">
        <f t="shared" si="20"/>
        <v>#VALUE!</v>
      </c>
      <c r="G256" t="e">
        <f t="shared" si="20"/>
        <v>#VALUE!</v>
      </c>
      <c r="H256" t="e">
        <f t="shared" si="20"/>
        <v>#VALUE!</v>
      </c>
      <c r="I256" t="e">
        <f t="shared" si="20"/>
        <v>#VALUE!</v>
      </c>
      <c r="J256" t="e">
        <f t="shared" si="20"/>
        <v>#VALUE!</v>
      </c>
      <c r="K256" t="e">
        <f t="shared" si="20"/>
        <v>#VALUE!</v>
      </c>
      <c r="L256">
        <f t="shared" si="16"/>
        <v>0</v>
      </c>
      <c r="M256" t="str">
        <f t="shared" si="17"/>
        <v xml:space="preserve"> </v>
      </c>
    </row>
    <row r="257" spans="2:13" x14ac:dyDescent="0.35">
      <c r="B257" t="e">
        <f t="shared" si="19"/>
        <v>#VALUE!</v>
      </c>
      <c r="C257" t="e">
        <f t="shared" si="20"/>
        <v>#VALUE!</v>
      </c>
      <c r="D257" t="e">
        <f t="shared" si="20"/>
        <v>#VALUE!</v>
      </c>
      <c r="E257" t="e">
        <f t="shared" si="20"/>
        <v>#VALUE!</v>
      </c>
      <c r="F257" t="e">
        <f t="shared" si="20"/>
        <v>#VALUE!</v>
      </c>
      <c r="G257" t="e">
        <f t="shared" si="20"/>
        <v>#VALUE!</v>
      </c>
      <c r="H257" t="e">
        <f t="shared" si="20"/>
        <v>#VALUE!</v>
      </c>
      <c r="I257" t="e">
        <f t="shared" si="20"/>
        <v>#VALUE!</v>
      </c>
      <c r="J257" t="e">
        <f t="shared" si="20"/>
        <v>#VALUE!</v>
      </c>
      <c r="K257" t="e">
        <f t="shared" si="20"/>
        <v>#VALUE!</v>
      </c>
      <c r="L257">
        <f t="shared" si="16"/>
        <v>0</v>
      </c>
      <c r="M257" t="str">
        <f t="shared" si="17"/>
        <v xml:space="preserve"> </v>
      </c>
    </row>
    <row r="258" spans="2:13" x14ac:dyDescent="0.35">
      <c r="B258" t="e">
        <f t="shared" si="19"/>
        <v>#VALUE!</v>
      </c>
      <c r="C258" t="e">
        <f t="shared" si="20"/>
        <v>#VALUE!</v>
      </c>
      <c r="D258" t="e">
        <f t="shared" si="20"/>
        <v>#VALUE!</v>
      </c>
      <c r="E258" t="e">
        <f t="shared" si="20"/>
        <v>#VALUE!</v>
      </c>
      <c r="F258" t="e">
        <f t="shared" si="20"/>
        <v>#VALUE!</v>
      </c>
      <c r="G258" t="e">
        <f t="shared" si="20"/>
        <v>#VALUE!</v>
      </c>
      <c r="H258" t="e">
        <f t="shared" si="20"/>
        <v>#VALUE!</v>
      </c>
      <c r="I258" t="e">
        <f t="shared" si="20"/>
        <v>#VALUE!</v>
      </c>
      <c r="J258" t="e">
        <f t="shared" si="20"/>
        <v>#VALUE!</v>
      </c>
      <c r="K258" t="e">
        <f t="shared" si="20"/>
        <v>#VALUE!</v>
      </c>
      <c r="L258">
        <f t="shared" si="16"/>
        <v>0</v>
      </c>
      <c r="M258" t="str">
        <f t="shared" si="17"/>
        <v xml:space="preserve"> </v>
      </c>
    </row>
    <row r="259" spans="2:13" x14ac:dyDescent="0.35">
      <c r="B259" t="e">
        <f t="shared" si="19"/>
        <v>#VALUE!</v>
      </c>
      <c r="C259" t="e">
        <f t="shared" si="20"/>
        <v>#VALUE!</v>
      </c>
      <c r="D259" t="e">
        <f t="shared" si="20"/>
        <v>#VALUE!</v>
      </c>
      <c r="E259" t="e">
        <f t="shared" si="20"/>
        <v>#VALUE!</v>
      </c>
      <c r="F259" t="e">
        <f t="shared" si="20"/>
        <v>#VALUE!</v>
      </c>
      <c r="G259" t="e">
        <f t="shared" si="20"/>
        <v>#VALUE!</v>
      </c>
      <c r="H259" t="e">
        <f t="shared" si="20"/>
        <v>#VALUE!</v>
      </c>
      <c r="I259" t="e">
        <f t="shared" si="20"/>
        <v>#VALUE!</v>
      </c>
      <c r="J259" t="e">
        <f t="shared" si="20"/>
        <v>#VALUE!</v>
      </c>
      <c r="K259" t="e">
        <f t="shared" si="20"/>
        <v>#VALUE!</v>
      </c>
      <c r="L259">
        <f t="shared" ref="L259" si="21">SUMIF(B259:K259,"&lt;&gt;#VALUE!")</f>
        <v>0</v>
      </c>
      <c r="M259" t="str">
        <f t="shared" si="17"/>
        <v xml:space="preserve"> </v>
      </c>
    </row>
    <row r="260" spans="2:13" x14ac:dyDescent="0.35">
      <c r="L260">
        <v>1</v>
      </c>
      <c r="M260" t="str">
        <f t="shared" si="17"/>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BF3B-5DF7-4137-939C-C4BE42F8FCE0}">
  <dimension ref="A1:Q221"/>
  <sheetViews>
    <sheetView workbookViewId="0">
      <selection activeCell="Q111" sqref="Q2:Q111"/>
    </sheetView>
  </sheetViews>
  <sheetFormatPr defaultRowHeight="14.5" x14ac:dyDescent="0.35"/>
  <cols>
    <col min="15" max="15" width="48.26953125" customWidth="1"/>
  </cols>
  <sheetData>
    <row r="1" spans="1:17" x14ac:dyDescent="0.35">
      <c r="G1" s="1" t="s">
        <v>2</v>
      </c>
      <c r="H1" s="1" t="s">
        <v>722</v>
      </c>
      <c r="I1" s="1" t="s">
        <v>1215</v>
      </c>
      <c r="J1" s="1" t="s">
        <v>0</v>
      </c>
    </row>
    <row r="2" spans="1:17" x14ac:dyDescent="0.35">
      <c r="A2" t="s">
        <v>2117</v>
      </c>
      <c r="B2">
        <v>1</v>
      </c>
      <c r="C2">
        <f>B2+1</f>
        <v>2</v>
      </c>
      <c r="D2" t="str">
        <f>_xlfn.CONCAT("=A",B2)</f>
        <v>=A1</v>
      </c>
      <c r="E2" t="str">
        <f>_xlfn.CONCAT("=A",C2)</f>
        <v>=A2</v>
      </c>
      <c r="F2" t="str">
        <f>A2</f>
        <v>Engineering Plants for Farming and Pharming;9</v>
      </c>
      <c r="G2" t="str">
        <f>A3</f>
        <v>Nicola Patron</v>
      </c>
      <c r="H2">
        <f>SEARCH(" ",F2)</f>
        <v>12</v>
      </c>
      <c r="I2" t="e">
        <f>LEFT(F2,H2-1)+1-1</f>
        <v>#VALUE!</v>
      </c>
      <c r="J2" t="str">
        <f>RIGHT(F2,LEN(F2)-H2)</f>
        <v>Plants for Farming and Pharming;9</v>
      </c>
      <c r="P2" t="str">
        <f>LEFT(F2,LEN(F2)-2)</f>
        <v>Engineering Plants for Farming and Pharming</v>
      </c>
      <c r="Q2" t="str">
        <f>RIGHT(F2,1)</f>
        <v>9</v>
      </c>
    </row>
    <row r="3" spans="1:17" x14ac:dyDescent="0.35">
      <c r="A3" t="s">
        <v>1859</v>
      </c>
      <c r="B3">
        <f>B2+2</f>
        <v>3</v>
      </c>
      <c r="C3">
        <f t="shared" ref="C3:C66" si="0">B3+1</f>
        <v>4</v>
      </c>
      <c r="D3" t="str">
        <f t="shared" ref="D3:D66" si="1">_xlfn.CONCAT("=A",B3)</f>
        <v>=A3</v>
      </c>
      <c r="E3" t="str">
        <f t="shared" ref="E3:E66" si="2">_xlfn.CONCAT("=A",C3)</f>
        <v>=A4</v>
      </c>
      <c r="F3" t="str">
        <f>A4</f>
        <v>On the interplay of self-replication and self-reproduction in protocells;10</v>
      </c>
      <c r="G3" t="str">
        <f>A5</f>
        <v>Roberto Serra</v>
      </c>
      <c r="H3">
        <f t="shared" ref="H3:H66" si="3">SEARCH(" ",F3)</f>
        <v>3</v>
      </c>
      <c r="I3" t="e">
        <f t="shared" ref="I3:I66" si="4">LEFT(F3,H3-1)+1-1</f>
        <v>#VALUE!</v>
      </c>
      <c r="J3" t="str">
        <f t="shared" ref="J3:J66" si="5">RIGHT(F3,LEN(F3)-H3)</f>
        <v>the interplay of self-replication and self-reproduction in protocells;10</v>
      </c>
      <c r="P3" t="str">
        <f>LEFT(F3,LEN(F3)-3)</f>
        <v>On the interplay of self-replication and self-reproduction in protocells</v>
      </c>
      <c r="Q3" t="str">
        <f>RIGHT(F3,2)</f>
        <v>10</v>
      </c>
    </row>
    <row r="4" spans="1:17" x14ac:dyDescent="0.35">
      <c r="A4" t="s">
        <v>2118</v>
      </c>
      <c r="B4">
        <f t="shared" ref="B4:B67" si="6">B3+2</f>
        <v>5</v>
      </c>
      <c r="C4">
        <f t="shared" si="0"/>
        <v>6</v>
      </c>
      <c r="D4" t="str">
        <f t="shared" si="1"/>
        <v>=A5</v>
      </c>
      <c r="E4" t="str">
        <f t="shared" si="2"/>
        <v>=A6</v>
      </c>
      <c r="F4" t="str">
        <f>A6</f>
        <v>Artificial Democratic Life. Re-engineering the autonomy of the social, a research program;11</v>
      </c>
      <c r="G4" t="str">
        <f>A7</f>
        <v>Xabier E. Barandiaran</v>
      </c>
      <c r="H4">
        <f t="shared" si="3"/>
        <v>11</v>
      </c>
      <c r="I4" t="e">
        <f t="shared" si="4"/>
        <v>#VALUE!</v>
      </c>
      <c r="J4" t="str">
        <f t="shared" si="5"/>
        <v>Democratic Life. Re-engineering the autonomy of the social, a research program;11</v>
      </c>
      <c r="P4" t="str">
        <f t="shared" ref="P4:P20" si="7">LEFT(F4,LEN(F4)-3)</f>
        <v>Artificial Democratic Life. Re-engineering the autonomy of the social, a research program</v>
      </c>
      <c r="Q4" t="str">
        <f t="shared" ref="Q4:Q24" si="8">RIGHT(F4,2)</f>
        <v>11</v>
      </c>
    </row>
    <row r="5" spans="1:17" x14ac:dyDescent="0.35">
      <c r="A5" t="s">
        <v>868</v>
      </c>
      <c r="B5">
        <f t="shared" si="6"/>
        <v>7</v>
      </c>
      <c r="C5">
        <f t="shared" si="0"/>
        <v>8</v>
      </c>
      <c r="D5" t="str">
        <f t="shared" si="1"/>
        <v>=A7</v>
      </c>
      <c r="E5" t="str">
        <f t="shared" si="2"/>
        <v>=A8</v>
      </c>
      <c r="F5" t="str">
        <f>A8</f>
        <v>Can Bio-Inspired Swarm Algorithms Scale to Modern Societal Problems?;13</v>
      </c>
      <c r="G5" t="str">
        <f>A9</f>
        <v>Darren Chitty, Elizabeth Wanner, Rakhi Parmar and Peter Lewis</v>
      </c>
      <c r="H5">
        <f t="shared" si="3"/>
        <v>4</v>
      </c>
      <c r="I5" t="e">
        <f t="shared" si="4"/>
        <v>#VALUE!</v>
      </c>
      <c r="J5" t="str">
        <f t="shared" si="5"/>
        <v>Bio-Inspired Swarm Algorithms Scale to Modern Societal Problems?;13</v>
      </c>
      <c r="P5" t="str">
        <f t="shared" si="7"/>
        <v>Can Bio-Inspired Swarm Algorithms Scale to Modern Societal Problems?</v>
      </c>
      <c r="Q5" t="str">
        <f t="shared" si="8"/>
        <v>13</v>
      </c>
    </row>
    <row r="6" spans="1:17" x14ac:dyDescent="0.35">
      <c r="A6" t="s">
        <v>2119</v>
      </c>
      <c r="B6">
        <f t="shared" si="6"/>
        <v>9</v>
      </c>
      <c r="C6">
        <f t="shared" si="0"/>
        <v>10</v>
      </c>
      <c r="D6" t="str">
        <f t="shared" si="1"/>
        <v>=A9</v>
      </c>
      <c r="E6" t="str">
        <f t="shared" si="2"/>
        <v>=A10</v>
      </c>
      <c r="F6" t="str">
        <f>A10</f>
        <v>Towards Low-Carbon Conferencing: Acceptance of Virtual Conferencing Solutions and Other Sustainability Measures in the ALIFE Community;21</v>
      </c>
      <c r="G6" t="str">
        <f>A11</f>
        <v>Harold Fellermann, Alex Penn, Rudolf F¨uchslin, Jaume Bacardit and Angel Goni Moreno</v>
      </c>
      <c r="H6">
        <f t="shared" si="3"/>
        <v>8</v>
      </c>
      <c r="I6" t="e">
        <f t="shared" si="4"/>
        <v>#VALUE!</v>
      </c>
      <c r="J6" t="str">
        <f t="shared" si="5"/>
        <v>Low-Carbon Conferencing: Acceptance of Virtual Conferencing Solutions and Other Sustainability Measures in the ALIFE Community;21</v>
      </c>
      <c r="P6" t="str">
        <f t="shared" si="7"/>
        <v>Towards Low-Carbon Conferencing: Acceptance of Virtual Conferencing Solutions and Other Sustainability Measures in the ALIFE Community</v>
      </c>
      <c r="Q6" t="str">
        <f t="shared" si="8"/>
        <v>21</v>
      </c>
    </row>
    <row r="7" spans="1:17" x14ac:dyDescent="0.35">
      <c r="A7" t="s">
        <v>1862</v>
      </c>
      <c r="B7">
        <f t="shared" si="6"/>
        <v>11</v>
      </c>
      <c r="C7">
        <f t="shared" si="0"/>
        <v>12</v>
      </c>
      <c r="D7" t="str">
        <f t="shared" si="1"/>
        <v>=A11</v>
      </c>
      <c r="E7" t="str">
        <f t="shared" si="2"/>
        <v>=A12</v>
      </c>
      <c r="F7" t="str">
        <f>A12</f>
        <v>Suppleness and Open-Endedness for Social Sustainability;28</v>
      </c>
      <c r="G7" t="str">
        <f>A13</f>
        <v>Hiroki Sayama</v>
      </c>
      <c r="H7">
        <f t="shared" si="3"/>
        <v>11</v>
      </c>
      <c r="I7" t="e">
        <f t="shared" si="4"/>
        <v>#VALUE!</v>
      </c>
      <c r="J7" t="str">
        <f t="shared" si="5"/>
        <v>and Open-Endedness for Social Sustainability;28</v>
      </c>
      <c r="P7" t="str">
        <f t="shared" si="7"/>
        <v>Suppleness and Open-Endedness for Social Sustainability</v>
      </c>
      <c r="Q7" t="str">
        <f t="shared" si="8"/>
        <v>28</v>
      </c>
    </row>
    <row r="8" spans="1:17" x14ac:dyDescent="0.35">
      <c r="A8" t="s">
        <v>2120</v>
      </c>
      <c r="B8">
        <f t="shared" si="6"/>
        <v>13</v>
      </c>
      <c r="C8">
        <f t="shared" si="0"/>
        <v>14</v>
      </c>
      <c r="D8" t="str">
        <f t="shared" si="1"/>
        <v>=A13</v>
      </c>
      <c r="E8" t="str">
        <f t="shared" si="2"/>
        <v>=A14</v>
      </c>
      <c r="F8" t="str">
        <f>A14</f>
        <v>Cities, a conceptual framing for a synthetic perspective;30</v>
      </c>
      <c r="G8" t="str">
        <f>A15</f>
        <v>Jes´us M. Siqueiros-Garc´ıa</v>
      </c>
      <c r="H8">
        <f t="shared" si="3"/>
        <v>8</v>
      </c>
      <c r="I8" t="e">
        <f t="shared" si="4"/>
        <v>#VALUE!</v>
      </c>
      <c r="J8" t="str">
        <f t="shared" si="5"/>
        <v>a conceptual framing for a synthetic perspective;30</v>
      </c>
      <c r="P8" t="str">
        <f t="shared" si="7"/>
        <v>Cities, a conceptual framing for a synthetic perspective</v>
      </c>
      <c r="Q8" t="str">
        <f t="shared" si="8"/>
        <v>30</v>
      </c>
    </row>
    <row r="9" spans="1:17" x14ac:dyDescent="0.35">
      <c r="A9" t="s">
        <v>1864</v>
      </c>
      <c r="B9">
        <f t="shared" si="6"/>
        <v>15</v>
      </c>
      <c r="C9">
        <f t="shared" si="0"/>
        <v>16</v>
      </c>
      <c r="D9" t="str">
        <f t="shared" si="1"/>
        <v>=A15</v>
      </c>
      <c r="E9" t="str">
        <f t="shared" si="2"/>
        <v>=A16</v>
      </c>
      <c r="F9" t="str">
        <f>A16</f>
        <v>Quantifying affordances through information theory;32</v>
      </c>
      <c r="G9" t="str">
        <f>A17</f>
        <v>Miguel Aguilera, I˜nigo Arandia-Romero and Manuel Heras-Escribano</v>
      </c>
      <c r="H9">
        <f t="shared" si="3"/>
        <v>12</v>
      </c>
      <c r="I9" t="e">
        <f t="shared" si="4"/>
        <v>#VALUE!</v>
      </c>
      <c r="J9" t="str">
        <f t="shared" si="5"/>
        <v>affordances through information theory;32</v>
      </c>
      <c r="P9" t="str">
        <f t="shared" si="7"/>
        <v>Quantifying affordances through information theory</v>
      </c>
      <c r="Q9" t="str">
        <f t="shared" si="8"/>
        <v>32</v>
      </c>
    </row>
    <row r="10" spans="1:17" x14ac:dyDescent="0.35">
      <c r="A10" t="s">
        <v>2121</v>
      </c>
      <c r="B10">
        <f t="shared" si="6"/>
        <v>17</v>
      </c>
      <c r="C10">
        <f t="shared" si="0"/>
        <v>18</v>
      </c>
      <c r="D10" t="str">
        <f t="shared" si="1"/>
        <v>=A17</v>
      </c>
      <c r="E10" t="str">
        <f t="shared" si="2"/>
        <v>=A18</v>
      </c>
      <c r="F10" t="str">
        <f>A18</f>
        <v>The dark room problem in predictive processing and active inference, a legacy of cognitivism?;40</v>
      </c>
      <c r="G10" t="str">
        <f>A19</f>
        <v>Manuel Baltieri and Christopher Buckley</v>
      </c>
      <c r="H10">
        <f t="shared" si="3"/>
        <v>4</v>
      </c>
      <c r="I10" t="e">
        <f t="shared" si="4"/>
        <v>#VALUE!</v>
      </c>
      <c r="J10" t="str">
        <f t="shared" si="5"/>
        <v>dark room problem in predictive processing and active inference, a legacy of cognitivism?;40</v>
      </c>
      <c r="P10" t="str">
        <f t="shared" si="7"/>
        <v>The dark room problem in predictive processing and active inference, a legacy of cognitivism?</v>
      </c>
      <c r="Q10" t="str">
        <f t="shared" si="8"/>
        <v>40</v>
      </c>
    </row>
    <row r="11" spans="1:17" x14ac:dyDescent="0.35">
      <c r="A11" t="s">
        <v>1867</v>
      </c>
      <c r="B11">
        <f t="shared" si="6"/>
        <v>19</v>
      </c>
      <c r="C11">
        <f t="shared" si="0"/>
        <v>20</v>
      </c>
      <c r="D11" t="str">
        <f t="shared" si="1"/>
        <v>=A19</v>
      </c>
      <c r="E11" t="str">
        <f t="shared" si="2"/>
        <v>=A20</v>
      </c>
      <c r="F11" t="str">
        <f>A20</f>
        <v>NukaBot: Research and Design of a Human-Microbe Interaction model;48</v>
      </c>
      <c r="G11" t="str">
        <f>A21</f>
        <v>Dominique Chen, Hiraku Ogura and Young Ah Seong</v>
      </c>
      <c r="H11">
        <f t="shared" si="3"/>
        <v>9</v>
      </c>
      <c r="I11" t="e">
        <f t="shared" si="4"/>
        <v>#VALUE!</v>
      </c>
      <c r="J11" t="str">
        <f t="shared" si="5"/>
        <v>Research and Design of a Human-Microbe Interaction model;48</v>
      </c>
      <c r="P11" t="str">
        <f t="shared" si="7"/>
        <v>NukaBot: Research and Design of a Human-Microbe Interaction model</v>
      </c>
      <c r="Q11" t="str">
        <f t="shared" si="8"/>
        <v>48</v>
      </c>
    </row>
    <row r="12" spans="1:17" x14ac:dyDescent="0.35">
      <c r="A12" t="s">
        <v>2122</v>
      </c>
      <c r="B12">
        <f t="shared" si="6"/>
        <v>21</v>
      </c>
      <c r="C12">
        <f t="shared" si="0"/>
        <v>22</v>
      </c>
      <c r="D12" t="str">
        <f t="shared" si="1"/>
        <v>=A21</v>
      </c>
      <c r="E12" t="str">
        <f t="shared" si="2"/>
        <v>=A22</v>
      </c>
      <c r="F12" t="str">
        <f>A22</f>
        <v>Hybrid Synthetic Approach to Animal Interaction;50</v>
      </c>
      <c r="G12" t="str">
        <f>A23</f>
        <v>Hiroyuki Iizuka, Yosuke Nakamoto and Masahito Yamamoto</v>
      </c>
      <c r="H12">
        <f t="shared" si="3"/>
        <v>7</v>
      </c>
      <c r="I12" t="e">
        <f t="shared" si="4"/>
        <v>#VALUE!</v>
      </c>
      <c r="J12" t="str">
        <f t="shared" si="5"/>
        <v>Synthetic Approach to Animal Interaction;50</v>
      </c>
      <c r="P12" t="str">
        <f t="shared" si="7"/>
        <v>Hybrid Synthetic Approach to Animal Interaction</v>
      </c>
      <c r="Q12" t="str">
        <f t="shared" si="8"/>
        <v>50</v>
      </c>
    </row>
    <row r="13" spans="1:17" x14ac:dyDescent="0.35">
      <c r="A13" t="s">
        <v>514</v>
      </c>
      <c r="B13">
        <f t="shared" si="6"/>
        <v>23</v>
      </c>
      <c r="C13">
        <f t="shared" si="0"/>
        <v>24</v>
      </c>
      <c r="D13" t="str">
        <f t="shared" si="1"/>
        <v>=A23</v>
      </c>
      <c r="E13" t="str">
        <f t="shared" si="2"/>
        <v>=A24</v>
      </c>
      <c r="F13" t="str">
        <f>A24</f>
        <v>An artificial life approach to studying niche differentiation in soundscape ecology;52</v>
      </c>
      <c r="G13" t="str">
        <f>A25</f>
        <v>David Kadish, Sebastian Risi and Laura Beloff</v>
      </c>
      <c r="H13">
        <f t="shared" si="3"/>
        <v>3</v>
      </c>
      <c r="I13" t="e">
        <f t="shared" si="4"/>
        <v>#VALUE!</v>
      </c>
      <c r="J13" t="str">
        <f t="shared" si="5"/>
        <v>artificial life approach to studying niche differentiation in soundscape ecology;52</v>
      </c>
      <c r="P13" t="str">
        <f t="shared" si="7"/>
        <v>An artificial life approach to studying niche differentiation in soundscape ecology</v>
      </c>
      <c r="Q13" t="str">
        <f t="shared" si="8"/>
        <v>52</v>
      </c>
    </row>
    <row r="14" spans="1:17" x14ac:dyDescent="0.35">
      <c r="A14" t="s">
        <v>2123</v>
      </c>
      <c r="B14">
        <f t="shared" si="6"/>
        <v>25</v>
      </c>
      <c r="C14">
        <f t="shared" si="0"/>
        <v>26</v>
      </c>
      <c r="D14" t="str">
        <f t="shared" si="1"/>
        <v>=A25</v>
      </c>
      <c r="E14" t="str">
        <f t="shared" si="2"/>
        <v>=A26</v>
      </c>
      <c r="F14" t="str">
        <f>A26</f>
        <v>Insect-Inspired Visual Navigation On-Board an Autonomous Robot: Real-World Routes Encoded in a Single Layer Network;60</v>
      </c>
      <c r="G14" t="str">
        <f>A27</f>
        <v>James Knight, Daniil Sakhapov, Norbert Domcsek, Alex Dewar, Paul Graham, Thomas Nowotny and Andrew Philippides</v>
      </c>
      <c r="H14">
        <f t="shared" si="3"/>
        <v>16</v>
      </c>
      <c r="I14" t="e">
        <f t="shared" si="4"/>
        <v>#VALUE!</v>
      </c>
      <c r="J14" t="str">
        <f t="shared" si="5"/>
        <v>Visual Navigation On-Board an Autonomous Robot: Real-World Routes Encoded in a Single Layer Network;60</v>
      </c>
      <c r="P14" t="str">
        <f t="shared" si="7"/>
        <v>Insect-Inspired Visual Navigation On-Board an Autonomous Robot: Real-World Routes Encoded in a Single Layer Network</v>
      </c>
      <c r="Q14" t="str">
        <f t="shared" si="8"/>
        <v>60</v>
      </c>
    </row>
    <row r="15" spans="1:17" x14ac:dyDescent="0.35">
      <c r="A15" t="s">
        <v>1870</v>
      </c>
      <c r="B15">
        <f t="shared" si="6"/>
        <v>27</v>
      </c>
      <c r="C15">
        <f t="shared" si="0"/>
        <v>28</v>
      </c>
      <c r="D15" t="str">
        <f t="shared" si="1"/>
        <v>=A27</v>
      </c>
      <c r="E15" t="str">
        <f t="shared" si="2"/>
        <v>=A28</v>
      </c>
      <c r="F15" t="str">
        <f>A28</f>
        <v>Hybrid Variational Predictive Coding as a Bridge between Human and Artificial Cognition;68</v>
      </c>
      <c r="G15" t="str">
        <f>A29</f>
        <v>Andr´e Ofner and Sebastian Stober</v>
      </c>
      <c r="H15">
        <f t="shared" si="3"/>
        <v>7</v>
      </c>
      <c r="I15" t="e">
        <f t="shared" si="4"/>
        <v>#VALUE!</v>
      </c>
      <c r="J15" t="str">
        <f t="shared" si="5"/>
        <v>Variational Predictive Coding as a Bridge between Human and Artificial Cognition;68</v>
      </c>
      <c r="P15" t="str">
        <f t="shared" si="7"/>
        <v>Hybrid Variational Predictive Coding as a Bridge between Human and Artificial Cognition</v>
      </c>
      <c r="Q15" t="str">
        <f t="shared" si="8"/>
        <v>68</v>
      </c>
    </row>
    <row r="16" spans="1:17" x14ac:dyDescent="0.35">
      <c r="A16" t="s">
        <v>2124</v>
      </c>
      <c r="B16">
        <f t="shared" si="6"/>
        <v>29</v>
      </c>
      <c r="C16">
        <f t="shared" si="0"/>
        <v>30</v>
      </c>
      <c r="D16" t="str">
        <f t="shared" si="1"/>
        <v>=A29</v>
      </c>
      <c r="E16" t="str">
        <f t="shared" si="2"/>
        <v>=A30</v>
      </c>
      <c r="F16" t="str">
        <f>A30</f>
        <v>Sensorimotor contingency modulates visual awareness of virtual 3D objects;70</v>
      </c>
      <c r="G16" t="str">
        <f>A31</f>
        <v>Keisuke Suzuki, David Schwartzman, Rafael Augusto and Anil Seth</v>
      </c>
      <c r="H16">
        <f t="shared" si="3"/>
        <v>13</v>
      </c>
      <c r="I16" t="e">
        <f t="shared" si="4"/>
        <v>#VALUE!</v>
      </c>
      <c r="J16" t="str">
        <f t="shared" si="5"/>
        <v>contingency modulates visual awareness of virtual 3D objects;70</v>
      </c>
      <c r="P16" t="str">
        <f t="shared" si="7"/>
        <v>Sensorimotor contingency modulates visual awareness of virtual 3D objects</v>
      </c>
      <c r="Q16" t="str">
        <f t="shared" si="8"/>
        <v>70</v>
      </c>
    </row>
    <row r="17" spans="1:17" x14ac:dyDescent="0.35">
      <c r="A17" t="s">
        <v>1872</v>
      </c>
      <c r="B17">
        <f t="shared" si="6"/>
        <v>31</v>
      </c>
      <c r="C17">
        <f t="shared" si="0"/>
        <v>32</v>
      </c>
      <c r="D17" t="str">
        <f t="shared" si="1"/>
        <v>=A31</v>
      </c>
      <c r="E17" t="str">
        <f t="shared" si="2"/>
        <v>=A32</v>
      </c>
      <c r="F17" t="str">
        <f>A32</f>
        <v>Heuristics as Decision-making Habits of Autonomous Sensorimotor Agents;72</v>
      </c>
      <c r="G17" t="str">
        <f>A33</f>
        <v>Erasmo Batta and Christopher Stephens</v>
      </c>
      <c r="H17">
        <f t="shared" si="3"/>
        <v>11</v>
      </c>
      <c r="I17" t="e">
        <f t="shared" si="4"/>
        <v>#VALUE!</v>
      </c>
      <c r="J17" t="str">
        <f t="shared" si="5"/>
        <v>as Decision-making Habits of Autonomous Sensorimotor Agents;72</v>
      </c>
      <c r="P17" t="str">
        <f t="shared" si="7"/>
        <v>Heuristics as Decision-making Habits of Autonomous Sensorimotor Agents</v>
      </c>
      <c r="Q17" t="str">
        <f t="shared" si="8"/>
        <v>72</v>
      </c>
    </row>
    <row r="18" spans="1:17" x14ac:dyDescent="0.35">
      <c r="A18" t="s">
        <v>2125</v>
      </c>
      <c r="B18">
        <f t="shared" si="6"/>
        <v>33</v>
      </c>
      <c r="C18">
        <f t="shared" si="0"/>
        <v>34</v>
      </c>
      <c r="D18" t="str">
        <f t="shared" si="1"/>
        <v>=A33</v>
      </c>
      <c r="E18" t="str">
        <f t="shared" si="2"/>
        <v>=A34</v>
      </c>
      <c r="F18" t="str">
        <f>A34</f>
        <v>From embodied interaction to compositional referential communication: A minimal agent-based model without dedicated communication channels;79</v>
      </c>
      <c r="G18" t="str">
        <f>A35</f>
        <v>Jorge I. Campos and Tom Froese</v>
      </c>
      <c r="H18">
        <f t="shared" si="3"/>
        <v>5</v>
      </c>
      <c r="I18" t="e">
        <f t="shared" si="4"/>
        <v>#VALUE!</v>
      </c>
      <c r="J18" t="str">
        <f t="shared" si="5"/>
        <v>embodied interaction to compositional referential communication: A minimal agent-based model without dedicated communication channels;79</v>
      </c>
      <c r="P18" t="str">
        <f t="shared" si="7"/>
        <v>From embodied interaction to compositional referential communication: A minimal agent-based model without dedicated communication channels</v>
      </c>
      <c r="Q18" t="str">
        <f t="shared" si="8"/>
        <v>79</v>
      </c>
    </row>
    <row r="19" spans="1:17" x14ac:dyDescent="0.35">
      <c r="A19" t="s">
        <v>1874</v>
      </c>
      <c r="B19">
        <f t="shared" si="6"/>
        <v>35</v>
      </c>
      <c r="C19">
        <f t="shared" si="0"/>
        <v>36</v>
      </c>
      <c r="D19" t="str">
        <f t="shared" si="1"/>
        <v>=A35</v>
      </c>
      <c r="E19" t="str">
        <f t="shared" si="2"/>
        <v>=A36</v>
      </c>
      <c r="F19" t="str">
        <f>A36</f>
        <v>Void Reduction in Self-Healing Swarms;87</v>
      </c>
      <c r="G19" t="str">
        <f>A37</f>
        <v>Neil Eliot, David Kendall, Alun Moon, Michael Brockway and Martyn Amos</v>
      </c>
      <c r="H19">
        <f t="shared" si="3"/>
        <v>5</v>
      </c>
      <c r="I19" t="e">
        <f t="shared" si="4"/>
        <v>#VALUE!</v>
      </c>
      <c r="J19" t="str">
        <f t="shared" si="5"/>
        <v>Reduction in Self-Healing Swarms;87</v>
      </c>
      <c r="P19" t="str">
        <f t="shared" si="7"/>
        <v>Void Reduction in Self-Healing Swarms</v>
      </c>
      <c r="Q19" t="str">
        <f t="shared" si="8"/>
        <v>87</v>
      </c>
    </row>
    <row r="20" spans="1:17" x14ac:dyDescent="0.35">
      <c r="A20" t="s">
        <v>2126</v>
      </c>
      <c r="B20">
        <f t="shared" si="6"/>
        <v>37</v>
      </c>
      <c r="C20">
        <f t="shared" si="0"/>
        <v>38</v>
      </c>
      <c r="D20" t="str">
        <f t="shared" si="1"/>
        <v>=A37</v>
      </c>
      <c r="E20" t="str">
        <f t="shared" si="2"/>
        <v>=A38</v>
      </c>
      <c r="F20" t="str">
        <f>A38</f>
        <v>The ARE Robot Fabricator: How to (Re)produce Robots that Can Evolve in the Real World;95</v>
      </c>
      <c r="G20" t="str">
        <f>A39</f>
        <v>Matthew Hale, Edgar Buchanan, Alan Winfield, Jon Timmis, Emma Hart, Agoston Eiben, Mike Angus, Frank Veenstra, Wei Li, Robert Woolley, Matteo De Carlo and Andy Tyrrell</v>
      </c>
      <c r="H20">
        <f t="shared" si="3"/>
        <v>4</v>
      </c>
      <c r="I20" t="e">
        <f t="shared" si="4"/>
        <v>#VALUE!</v>
      </c>
      <c r="J20" t="str">
        <f t="shared" si="5"/>
        <v>ARE Robot Fabricator: How to (Re)produce Robots that Can Evolve in the Real World;95</v>
      </c>
      <c r="P20" t="str">
        <f t="shared" si="7"/>
        <v>The ARE Robot Fabricator: How to (Re)produce Robots that Can Evolve in the Real World</v>
      </c>
      <c r="Q20" t="str">
        <f t="shared" si="8"/>
        <v>95</v>
      </c>
    </row>
    <row r="21" spans="1:17" x14ac:dyDescent="0.35">
      <c r="A21" t="s">
        <v>1876</v>
      </c>
      <c r="B21">
        <f t="shared" si="6"/>
        <v>39</v>
      </c>
      <c r="C21">
        <f t="shared" si="0"/>
        <v>40</v>
      </c>
      <c r="D21" t="str">
        <f t="shared" si="1"/>
        <v>=A39</v>
      </c>
      <c r="E21" t="str">
        <f t="shared" si="2"/>
        <v>=A40</v>
      </c>
      <c r="F21" t="str">
        <f>A40</f>
        <v>Reinforcement Learning Agents acquire Flocking and Symbiotic Behaviour in Simulated Ecosystems;103</v>
      </c>
      <c r="G21" t="str">
        <f>A41</f>
        <v>Peter Sunehag, Guy Lever, Siqi Liu, Josh Merel, Nicolas Heess, Joel Leibo, Edward Hughes, Tom Eccles and Thore Graepel</v>
      </c>
      <c r="H21">
        <f t="shared" si="3"/>
        <v>14</v>
      </c>
      <c r="I21" t="e">
        <f t="shared" si="4"/>
        <v>#VALUE!</v>
      </c>
      <c r="J21" t="str">
        <f t="shared" si="5"/>
        <v>Learning Agents acquire Flocking and Symbiotic Behaviour in Simulated Ecosystems;103</v>
      </c>
      <c r="P21" t="str">
        <f>LEFT(F21,LEN(F21)-4)</f>
        <v>Reinforcement Learning Agents acquire Flocking and Symbiotic Behaviour in Simulated Ecosystems</v>
      </c>
      <c r="Q21" t="str">
        <f>RIGHT(F21,3)</f>
        <v>103</v>
      </c>
    </row>
    <row r="22" spans="1:17" x14ac:dyDescent="0.35">
      <c r="A22" t="s">
        <v>2127</v>
      </c>
      <c r="B22">
        <f t="shared" si="6"/>
        <v>41</v>
      </c>
      <c r="C22">
        <f t="shared" si="0"/>
        <v>42</v>
      </c>
      <c r="D22" t="str">
        <f t="shared" si="1"/>
        <v>=A41</v>
      </c>
      <c r="E22" t="str">
        <f t="shared" si="2"/>
        <v>=A42</v>
      </c>
      <c r="F22" t="str">
        <f>A42</f>
        <v>Building a survivable protocell for a corrosive digital environment;111</v>
      </c>
      <c r="G22" t="str">
        <f>A43</f>
        <v>David H. Ackley</v>
      </c>
      <c r="H22">
        <f t="shared" si="3"/>
        <v>9</v>
      </c>
      <c r="I22" t="e">
        <f t="shared" si="4"/>
        <v>#VALUE!</v>
      </c>
      <c r="J22" t="str">
        <f t="shared" si="5"/>
        <v>a survivable protocell for a corrosive digital environment;111</v>
      </c>
      <c r="P22" t="str">
        <f t="shared" ref="P22:P85" si="9">LEFT(F22,LEN(F22)-4)</f>
        <v>Building a survivable protocell for a corrosive digital environment</v>
      </c>
      <c r="Q22" t="str">
        <f t="shared" ref="Q22:Q85" si="10">RIGHT(F22,3)</f>
        <v>111</v>
      </c>
    </row>
    <row r="23" spans="1:17" x14ac:dyDescent="0.35">
      <c r="A23" t="s">
        <v>1878</v>
      </c>
      <c r="B23">
        <f t="shared" si="6"/>
        <v>43</v>
      </c>
      <c r="C23">
        <f t="shared" si="0"/>
        <v>44</v>
      </c>
      <c r="D23" t="str">
        <f t="shared" si="1"/>
        <v>=A43</v>
      </c>
      <c r="E23" t="str">
        <f t="shared" si="2"/>
        <v>=A44</v>
      </c>
      <c r="F23" t="str">
        <f>A44</f>
        <v>Implementing MetaChem framework in Object Orientation;119</v>
      </c>
      <c r="G23" t="str">
        <f>A45</f>
        <v>Penelope Faulkner Rainford, Angelika Sebald and Susan Stepney</v>
      </c>
      <c r="H23">
        <f t="shared" si="3"/>
        <v>13</v>
      </c>
      <c r="I23" t="e">
        <f t="shared" si="4"/>
        <v>#VALUE!</v>
      </c>
      <c r="J23" t="str">
        <f t="shared" si="5"/>
        <v>MetaChem framework in Object Orientation;119</v>
      </c>
      <c r="P23" t="str">
        <f t="shared" si="9"/>
        <v>Implementing MetaChem framework in Object Orientation</v>
      </c>
      <c r="Q23" t="str">
        <f t="shared" si="10"/>
        <v>119</v>
      </c>
    </row>
    <row r="24" spans="1:17" x14ac:dyDescent="0.35">
      <c r="A24" t="s">
        <v>2128</v>
      </c>
      <c r="B24">
        <f t="shared" si="6"/>
        <v>45</v>
      </c>
      <c r="C24">
        <f t="shared" si="0"/>
        <v>46</v>
      </c>
      <c r="D24" t="str">
        <f t="shared" si="1"/>
        <v>=A45</v>
      </c>
      <c r="E24" t="str">
        <f t="shared" si="2"/>
        <v>=A46</v>
      </c>
      <c r="F24" t="str">
        <f>A46</f>
        <v>A Meta-Atom Based Sub-Symbolic Artificial Chemistry;127</v>
      </c>
      <c r="G24" t="str">
        <f>A47</f>
        <v>Isaac Watson, Angelika Sebald and Susan Stepney</v>
      </c>
      <c r="H24">
        <f t="shared" si="3"/>
        <v>2</v>
      </c>
      <c r="I24" t="e">
        <f t="shared" si="4"/>
        <v>#VALUE!</v>
      </c>
      <c r="J24" t="str">
        <f t="shared" si="5"/>
        <v>Meta-Atom Based Sub-Symbolic Artificial Chemistry;127</v>
      </c>
      <c r="P24" t="str">
        <f t="shared" si="9"/>
        <v>A Meta-Atom Based Sub-Symbolic Artificial Chemistry</v>
      </c>
      <c r="Q24" t="str">
        <f t="shared" si="10"/>
        <v>127</v>
      </c>
    </row>
    <row r="25" spans="1:17" x14ac:dyDescent="0.35">
      <c r="A25" t="s">
        <v>1880</v>
      </c>
      <c r="B25">
        <f t="shared" si="6"/>
        <v>47</v>
      </c>
      <c r="C25">
        <f t="shared" si="0"/>
        <v>48</v>
      </c>
      <c r="D25" t="str">
        <f t="shared" si="1"/>
        <v>=A47</v>
      </c>
      <c r="E25" t="str">
        <f t="shared" si="2"/>
        <v>=A48</v>
      </c>
      <c r="F25" t="str">
        <f>A48</f>
        <v>Pathways to Good Healthcare Services and Patient Satisfaction: An Evolutionary Game Theoretical Approach;135</v>
      </c>
      <c r="G25" t="str">
        <f>A49</f>
        <v>Zainab Alalawi, The Anh Han, Yifeng Zeng and Aiman Elragig</v>
      </c>
      <c r="H25">
        <f t="shared" si="3"/>
        <v>9</v>
      </c>
      <c r="I25" t="e">
        <f t="shared" si="4"/>
        <v>#VALUE!</v>
      </c>
      <c r="J25" t="str">
        <f t="shared" si="5"/>
        <v>to Good Healthcare Services and Patient Satisfaction: An Evolutionary Game Theoretical Approach;135</v>
      </c>
      <c r="P25" t="str">
        <f t="shared" si="9"/>
        <v>Pathways to Good Healthcare Services and Patient Satisfaction: An Evolutionary Game Theoretical Approach</v>
      </c>
      <c r="Q25" t="str">
        <f t="shared" si="10"/>
        <v>135</v>
      </c>
    </row>
    <row r="26" spans="1:17" x14ac:dyDescent="0.35">
      <c r="A26" t="s">
        <v>2129</v>
      </c>
      <c r="B26">
        <f t="shared" si="6"/>
        <v>49</v>
      </c>
      <c r="C26">
        <f t="shared" si="0"/>
        <v>50</v>
      </c>
      <c r="D26" t="str">
        <f t="shared" si="1"/>
        <v>=A49</v>
      </c>
      <c r="E26" t="str">
        <f t="shared" si="2"/>
        <v>=A50</v>
      </c>
      <c r="F26" t="str">
        <f>A50</f>
        <v>On the Expected Number and Distribution of Equilibria in Multi-player Evolutionary Games;143</v>
      </c>
      <c r="G26" t="str">
        <f>A51</f>
        <v>Hong Duong and The Anh Han</v>
      </c>
      <c r="H26">
        <f t="shared" si="3"/>
        <v>3</v>
      </c>
      <c r="I26" t="e">
        <f t="shared" si="4"/>
        <v>#VALUE!</v>
      </c>
      <c r="J26" t="str">
        <f t="shared" si="5"/>
        <v>the Expected Number and Distribution of Equilibria in Multi-player Evolutionary Games;143</v>
      </c>
      <c r="P26" t="str">
        <f t="shared" si="9"/>
        <v>On the Expected Number and Distribution of Equilibria in Multi-player Evolutionary Games</v>
      </c>
      <c r="Q26" t="str">
        <f t="shared" si="10"/>
        <v>143</v>
      </c>
    </row>
    <row r="27" spans="1:17" x14ac:dyDescent="0.35">
      <c r="A27" t="s">
        <v>2091</v>
      </c>
      <c r="B27">
        <f t="shared" si="6"/>
        <v>51</v>
      </c>
      <c r="C27">
        <f t="shared" si="0"/>
        <v>52</v>
      </c>
      <c r="D27" t="str">
        <f t="shared" si="1"/>
        <v>=A51</v>
      </c>
      <c r="E27" t="str">
        <f t="shared" si="2"/>
        <v>=A52</v>
      </c>
      <c r="F27" t="str">
        <f>A52</f>
        <v>Entropy-Based Team Self-Organization with Signal Suppression;145</v>
      </c>
      <c r="G27" t="str">
        <f>A53</f>
        <v>David King, Lukas Esterle and Gilbert Peterson</v>
      </c>
      <c r="H27">
        <f t="shared" si="3"/>
        <v>14</v>
      </c>
      <c r="I27" t="e">
        <f t="shared" si="4"/>
        <v>#VALUE!</v>
      </c>
      <c r="J27" t="str">
        <f t="shared" si="5"/>
        <v>Team Self-Organization with Signal Suppression;145</v>
      </c>
      <c r="P27" t="str">
        <f t="shared" si="9"/>
        <v>Entropy-Based Team Self-Organization with Signal Suppression</v>
      </c>
      <c r="Q27" t="str">
        <f t="shared" si="10"/>
        <v>145</v>
      </c>
    </row>
    <row r="28" spans="1:17" x14ac:dyDescent="0.35">
      <c r="A28" t="s">
        <v>2130</v>
      </c>
      <c r="B28">
        <f t="shared" si="6"/>
        <v>53</v>
      </c>
      <c r="C28">
        <f t="shared" si="0"/>
        <v>54</v>
      </c>
      <c r="D28" t="str">
        <f t="shared" si="1"/>
        <v>=A53</v>
      </c>
      <c r="E28" t="str">
        <f t="shared" si="2"/>
        <v>=A54</v>
      </c>
      <c r="F28" t="str">
        <f>A54</f>
        <v>All in Good Team: Optimising Team Personalities for Different Dynamic Problems and Task Types;153</v>
      </c>
      <c r="G28" t="str">
        <f>A55</f>
        <v>Soo Ling Lim and Peter Bentley</v>
      </c>
      <c r="H28">
        <f t="shared" si="3"/>
        <v>4</v>
      </c>
      <c r="I28" t="e">
        <f t="shared" si="4"/>
        <v>#VALUE!</v>
      </c>
      <c r="J28" t="str">
        <f t="shared" si="5"/>
        <v>in Good Team: Optimising Team Personalities for Different Dynamic Problems and Task Types;153</v>
      </c>
      <c r="P28" t="str">
        <f t="shared" si="9"/>
        <v>All in Good Team: Optimising Team Personalities for Different Dynamic Problems and Task Types</v>
      </c>
      <c r="Q28" t="str">
        <f t="shared" si="10"/>
        <v>153</v>
      </c>
    </row>
    <row r="29" spans="1:17" x14ac:dyDescent="0.35">
      <c r="A29" t="s">
        <v>1886</v>
      </c>
      <c r="B29">
        <f t="shared" si="6"/>
        <v>55</v>
      </c>
      <c r="C29">
        <f t="shared" si="0"/>
        <v>56</v>
      </c>
      <c r="D29" t="str">
        <f t="shared" si="1"/>
        <v>=A55</v>
      </c>
      <c r="E29" t="str">
        <f t="shared" si="2"/>
        <v>=A56</v>
      </c>
      <c r="F29" t="str">
        <f>A56</f>
        <v>Only Two Types of Strategies Enforce Linear Payoff Relationships Under Observation Errors in Repeated Prisoner’s Dilemma Games;161</v>
      </c>
      <c r="G29" t="str">
        <f>A57</f>
        <v>Azumi Mamiya and Genki Ichinose</v>
      </c>
      <c r="H29">
        <f t="shared" si="3"/>
        <v>5</v>
      </c>
      <c r="I29" t="e">
        <f t="shared" si="4"/>
        <v>#VALUE!</v>
      </c>
      <c r="J29" t="str">
        <f t="shared" si="5"/>
        <v>Two Types of Strategies Enforce Linear Payoff Relationships Under Observation Errors in Repeated Prisoner’s Dilemma Games;161</v>
      </c>
      <c r="P29" t="str">
        <f t="shared" si="9"/>
        <v>Only Two Types of Strategies Enforce Linear Payoff Relationships Under Observation Errors in Repeated Prisoner’s Dilemma Games</v>
      </c>
      <c r="Q29" t="str">
        <f t="shared" si="10"/>
        <v>161</v>
      </c>
    </row>
    <row r="30" spans="1:17" x14ac:dyDescent="0.35">
      <c r="A30" t="s">
        <v>2131</v>
      </c>
      <c r="B30">
        <f t="shared" si="6"/>
        <v>57</v>
      </c>
      <c r="C30">
        <f t="shared" si="0"/>
        <v>58</v>
      </c>
      <c r="D30" t="str">
        <f t="shared" si="1"/>
        <v>=A57</v>
      </c>
      <c r="E30" t="str">
        <f t="shared" si="2"/>
        <v>=A58</v>
      </c>
      <c r="F30" t="str">
        <f>A58</f>
        <v>Emergence of Coordination with Asymmetric Benefits via Prior Commitment;163</v>
      </c>
      <c r="G30" t="str">
        <f>A59</f>
        <v>Bianca Ogbo Ndidi and The Anh Han</v>
      </c>
      <c r="H30">
        <f t="shared" si="3"/>
        <v>10</v>
      </c>
      <c r="I30" t="e">
        <f t="shared" si="4"/>
        <v>#VALUE!</v>
      </c>
      <c r="J30" t="str">
        <f t="shared" si="5"/>
        <v>of Coordination with Asymmetric Benefits via Prior Commitment;163</v>
      </c>
      <c r="P30" t="str">
        <f t="shared" si="9"/>
        <v>Emergence of Coordination with Asymmetric Benefits via Prior Commitment</v>
      </c>
      <c r="Q30" t="str">
        <f t="shared" si="10"/>
        <v>163</v>
      </c>
    </row>
    <row r="31" spans="1:17" x14ac:dyDescent="0.35">
      <c r="A31" t="s">
        <v>1888</v>
      </c>
      <c r="B31">
        <f t="shared" si="6"/>
        <v>59</v>
      </c>
      <c r="C31">
        <f t="shared" si="0"/>
        <v>60</v>
      </c>
      <c r="D31" t="str">
        <f t="shared" si="1"/>
        <v>=A59</v>
      </c>
      <c r="E31" t="str">
        <f t="shared" si="2"/>
        <v>=A60</v>
      </c>
      <c r="F31" t="str">
        <f>A60</f>
        <v>Being a leader or being the leader: The evolution of institutionalised hierarchy;171</v>
      </c>
      <c r="G31" t="str">
        <f>A61</f>
        <v>Cedric Perret, Emma Hart and Simon Powers</v>
      </c>
      <c r="H31">
        <f t="shared" si="3"/>
        <v>6</v>
      </c>
      <c r="I31" t="e">
        <f t="shared" si="4"/>
        <v>#VALUE!</v>
      </c>
      <c r="J31" t="str">
        <f t="shared" si="5"/>
        <v>a leader or being the leader: The evolution of institutionalised hierarchy;171</v>
      </c>
      <c r="P31" t="str">
        <f t="shared" si="9"/>
        <v>Being a leader or being the leader: The evolution of institutionalised hierarchy</v>
      </c>
      <c r="Q31" t="str">
        <f t="shared" si="10"/>
        <v>171</v>
      </c>
    </row>
    <row r="32" spans="1:17" x14ac:dyDescent="0.35">
      <c r="A32" t="s">
        <v>2132</v>
      </c>
      <c r="B32">
        <f t="shared" si="6"/>
        <v>61</v>
      </c>
      <c r="C32">
        <f t="shared" si="0"/>
        <v>62</v>
      </c>
      <c r="D32" t="str">
        <f t="shared" si="1"/>
        <v>=A61</v>
      </c>
      <c r="E32" t="str">
        <f t="shared" si="2"/>
        <v>=A62</v>
      </c>
      <c r="F32" t="str">
        <f>A62</f>
        <v>Generating urban morphologies at large scales;179</v>
      </c>
      <c r="G32" t="str">
        <f>A63</f>
        <v>Juste Raimbault and Julien Perret</v>
      </c>
      <c r="H32">
        <f t="shared" si="3"/>
        <v>11</v>
      </c>
      <c r="I32" t="e">
        <f t="shared" si="4"/>
        <v>#VALUE!</v>
      </c>
      <c r="J32" t="str">
        <f t="shared" si="5"/>
        <v>urban morphologies at large scales;179</v>
      </c>
      <c r="P32" t="str">
        <f t="shared" si="9"/>
        <v>Generating urban morphologies at large scales</v>
      </c>
      <c r="Q32" t="str">
        <f t="shared" si="10"/>
        <v>179</v>
      </c>
    </row>
    <row r="33" spans="1:17" x14ac:dyDescent="0.35">
      <c r="A33" t="s">
        <v>1890</v>
      </c>
      <c r="B33">
        <f t="shared" si="6"/>
        <v>63</v>
      </c>
      <c r="C33">
        <f t="shared" si="0"/>
        <v>64</v>
      </c>
      <c r="D33" t="str">
        <f t="shared" si="1"/>
        <v>=A63</v>
      </c>
      <c r="E33" t="str">
        <f t="shared" si="2"/>
        <v>=A64</v>
      </c>
      <c r="F33" t="str">
        <f>A64</f>
        <v>Fairness in Multiplayer Ultimatum Games Through Moderate Responder Selection;187</v>
      </c>
      <c r="G33" t="str">
        <f>A65</f>
        <v>Fernando Santos and Daan Bloembergen</v>
      </c>
      <c r="H33">
        <f t="shared" si="3"/>
        <v>9</v>
      </c>
      <c r="I33" t="e">
        <f t="shared" si="4"/>
        <v>#VALUE!</v>
      </c>
      <c r="J33" t="str">
        <f t="shared" si="5"/>
        <v>in Multiplayer Ultimatum Games Through Moderate Responder Selection;187</v>
      </c>
      <c r="P33" t="str">
        <f t="shared" si="9"/>
        <v>Fairness in Multiplayer Ultimatum Games Through Moderate Responder Selection</v>
      </c>
      <c r="Q33" t="str">
        <f t="shared" si="10"/>
        <v>187</v>
      </c>
    </row>
    <row r="34" spans="1:17" x14ac:dyDescent="0.35">
      <c r="A34" t="s">
        <v>2133</v>
      </c>
      <c r="B34">
        <f t="shared" si="6"/>
        <v>65</v>
      </c>
      <c r="C34">
        <f t="shared" si="0"/>
        <v>66</v>
      </c>
      <c r="D34" t="str">
        <f t="shared" si="1"/>
        <v>=A65</v>
      </c>
      <c r="E34" t="str">
        <f t="shared" si="2"/>
        <v>=A66</v>
      </c>
      <c r="F34" t="str">
        <f>A66</f>
        <v>Investigating the Origins of Cancer in the Intestinal Crypt with a Gene Network Agent Based Hybrid Model;195</v>
      </c>
      <c r="G34" t="str">
        <f>A67</f>
        <v>Arturo Araujo, Hanxiao Zhang, Albert R¨ubben and Peter J Bentley</v>
      </c>
      <c r="H34">
        <f t="shared" si="3"/>
        <v>14</v>
      </c>
      <c r="I34" t="e">
        <f t="shared" si="4"/>
        <v>#VALUE!</v>
      </c>
      <c r="J34" t="str">
        <f t="shared" si="5"/>
        <v>the Origins of Cancer in the Intestinal Crypt with a Gene Network Agent Based Hybrid Model;195</v>
      </c>
      <c r="P34" t="str">
        <f t="shared" si="9"/>
        <v>Investigating the Origins of Cancer in the Intestinal Crypt with a Gene Network Agent Based Hybrid Model</v>
      </c>
      <c r="Q34" t="str">
        <f t="shared" si="10"/>
        <v>195</v>
      </c>
    </row>
    <row r="35" spans="1:17" x14ac:dyDescent="0.35">
      <c r="A35" t="s">
        <v>1893</v>
      </c>
      <c r="B35">
        <f t="shared" si="6"/>
        <v>67</v>
      </c>
      <c r="C35">
        <f t="shared" si="0"/>
        <v>68</v>
      </c>
      <c r="D35" t="str">
        <f t="shared" si="1"/>
        <v>=A67</v>
      </c>
      <c r="E35" t="str">
        <f t="shared" si="2"/>
        <v>=A68</v>
      </c>
      <c r="F35" t="str">
        <f>A68</f>
        <v>A Hexagonal Cell Automaton Model to Imitate Physarum Polycephalum Competitive Behaviour;203</v>
      </c>
      <c r="G35" t="str">
        <f>A69</f>
        <v>Abubakr Awad, Wei Pang, David Lusseau and George Coghill</v>
      </c>
      <c r="H35">
        <f t="shared" si="3"/>
        <v>2</v>
      </c>
      <c r="I35" t="e">
        <f t="shared" si="4"/>
        <v>#VALUE!</v>
      </c>
      <c r="J35" t="str">
        <f t="shared" si="5"/>
        <v>Hexagonal Cell Automaton Model to Imitate Physarum Polycephalum Competitive Behaviour;203</v>
      </c>
      <c r="P35" t="str">
        <f t="shared" si="9"/>
        <v>A Hexagonal Cell Automaton Model to Imitate Physarum Polycephalum Competitive Behaviour</v>
      </c>
      <c r="Q35" t="str">
        <f t="shared" si="10"/>
        <v>203</v>
      </c>
    </row>
    <row r="36" spans="1:17" x14ac:dyDescent="0.35">
      <c r="A36" t="s">
        <v>2134</v>
      </c>
      <c r="B36">
        <f t="shared" si="6"/>
        <v>69</v>
      </c>
      <c r="C36">
        <f t="shared" si="0"/>
        <v>70</v>
      </c>
      <c r="D36" t="str">
        <f t="shared" si="1"/>
        <v>=A69</v>
      </c>
      <c r="E36" t="str">
        <f t="shared" si="2"/>
        <v>=A70</v>
      </c>
      <c r="F36" t="str">
        <f>A70</f>
        <v>A simplified model of chromatin dynamics drives differentiation process in Boolean models of GRN;211</v>
      </c>
      <c r="G36" t="str">
        <f>A71</f>
        <v>Michele Braccini, Andrea Roli, Marco Villani, Sara Montagna and Roberto Serra</v>
      </c>
      <c r="H36">
        <f t="shared" si="3"/>
        <v>2</v>
      </c>
      <c r="I36" t="e">
        <f t="shared" si="4"/>
        <v>#VALUE!</v>
      </c>
      <c r="J36" t="str">
        <f t="shared" si="5"/>
        <v>simplified model of chromatin dynamics drives differentiation process in Boolean models of GRN;211</v>
      </c>
      <c r="P36" t="str">
        <f t="shared" si="9"/>
        <v>A simplified model of chromatin dynamics drives differentiation process in Boolean models of GRN</v>
      </c>
      <c r="Q36" t="str">
        <f t="shared" si="10"/>
        <v>211</v>
      </c>
    </row>
    <row r="37" spans="1:17" x14ac:dyDescent="0.35">
      <c r="A37" t="s">
        <v>1895</v>
      </c>
      <c r="B37">
        <f t="shared" si="6"/>
        <v>71</v>
      </c>
      <c r="C37">
        <f t="shared" si="0"/>
        <v>72</v>
      </c>
      <c r="D37" t="str">
        <f t="shared" si="1"/>
        <v>=A71</v>
      </c>
      <c r="E37" t="str">
        <f t="shared" si="2"/>
        <v>=A72</v>
      </c>
      <c r="F37" t="str">
        <f>A72</f>
        <v>A reaction-diffusion model for simulating the oscillatory expansion of biofilms;218</v>
      </c>
      <c r="G37" t="str">
        <f>A73</f>
        <v>Taishi Mikami, Munehiro Asally, Takeshi Kano and Akio Ishiguro</v>
      </c>
      <c r="H37">
        <f t="shared" si="3"/>
        <v>2</v>
      </c>
      <c r="I37" t="e">
        <f t="shared" si="4"/>
        <v>#VALUE!</v>
      </c>
      <c r="J37" t="str">
        <f t="shared" si="5"/>
        <v>reaction-diffusion model for simulating the oscillatory expansion of biofilms;218</v>
      </c>
      <c r="P37" t="str">
        <f t="shared" si="9"/>
        <v>A reaction-diffusion model for simulating the oscillatory expansion of biofilms</v>
      </c>
      <c r="Q37" t="str">
        <f t="shared" si="10"/>
        <v>218</v>
      </c>
    </row>
    <row r="38" spans="1:17" x14ac:dyDescent="0.35">
      <c r="A38" t="s">
        <v>2135</v>
      </c>
      <c r="B38">
        <f t="shared" si="6"/>
        <v>73</v>
      </c>
      <c r="C38">
        <f t="shared" si="0"/>
        <v>74</v>
      </c>
      <c r="D38" t="str">
        <f t="shared" si="1"/>
        <v>=A73</v>
      </c>
      <c r="E38" t="str">
        <f t="shared" si="2"/>
        <v>=A74</v>
      </c>
      <c r="F38" t="str">
        <f>A74</f>
        <v>Analyzing Evolution of Avian Influenza using detailed Genotypic and Antigenic Models and Phylodynamic Simulation;220</v>
      </c>
      <c r="G38" t="str">
        <f>A75</f>
        <v>Liam Mosley and Dhananjai Rao</v>
      </c>
      <c r="H38">
        <f t="shared" si="3"/>
        <v>10</v>
      </c>
      <c r="I38" t="e">
        <f t="shared" si="4"/>
        <v>#VALUE!</v>
      </c>
      <c r="J38" t="str">
        <f t="shared" si="5"/>
        <v>Evolution of Avian Influenza using detailed Genotypic and Antigenic Models and Phylodynamic Simulation;220</v>
      </c>
      <c r="P38" t="str">
        <f t="shared" si="9"/>
        <v>Analyzing Evolution of Avian Influenza using detailed Genotypic and Antigenic Models and Phylodynamic Simulation</v>
      </c>
      <c r="Q38" t="str">
        <f t="shared" si="10"/>
        <v>220</v>
      </c>
    </row>
    <row r="39" spans="1:17" x14ac:dyDescent="0.35">
      <c r="A39" t="s">
        <v>2093</v>
      </c>
      <c r="B39">
        <f t="shared" si="6"/>
        <v>75</v>
      </c>
      <c r="C39">
        <f t="shared" si="0"/>
        <v>76</v>
      </c>
      <c r="D39" t="str">
        <f t="shared" si="1"/>
        <v>=A75</v>
      </c>
      <c r="E39" t="str">
        <f t="shared" si="2"/>
        <v>=A76</v>
      </c>
      <c r="F39" t="str">
        <f>A76</f>
        <v>Anomalies in the Behaviour of a Modularity Inducing Problem Domain;228</v>
      </c>
      <c r="G39" t="str">
        <f>A77</f>
        <v>Zhenyue Qin, Tom Gedeon and Bob McKay</v>
      </c>
      <c r="H39">
        <f t="shared" si="3"/>
        <v>10</v>
      </c>
      <c r="I39" t="e">
        <f t="shared" si="4"/>
        <v>#VALUE!</v>
      </c>
      <c r="J39" t="str">
        <f t="shared" si="5"/>
        <v>in the Behaviour of a Modularity Inducing Problem Domain;228</v>
      </c>
      <c r="P39" t="str">
        <f t="shared" si="9"/>
        <v>Anomalies in the Behaviour of a Modularity Inducing Problem Domain</v>
      </c>
      <c r="Q39" t="str">
        <f t="shared" si="10"/>
        <v>228</v>
      </c>
    </row>
    <row r="40" spans="1:17" x14ac:dyDescent="0.35">
      <c r="A40" t="s">
        <v>2136</v>
      </c>
      <c r="B40">
        <f t="shared" si="6"/>
        <v>77</v>
      </c>
      <c r="C40">
        <f t="shared" si="0"/>
        <v>78</v>
      </c>
      <c r="D40" t="str">
        <f t="shared" si="1"/>
        <v>=A77</v>
      </c>
      <c r="E40" t="str">
        <f t="shared" si="2"/>
        <v>=A78</v>
      </c>
      <c r="F40" t="str">
        <f>A78</f>
        <v>Optimizing Radiation Therapy Treatments by Exploring Tumour Ecosystem Dynamics in – silico;236</v>
      </c>
      <c r="G40" t="str">
        <f>A79</f>
        <v>Stephan Scheidegger and Harold Fellermann</v>
      </c>
      <c r="H40">
        <f t="shared" si="3"/>
        <v>11</v>
      </c>
      <c r="I40" t="e">
        <f t="shared" si="4"/>
        <v>#VALUE!</v>
      </c>
      <c r="J40" t="str">
        <f t="shared" si="5"/>
        <v>Radiation Therapy Treatments by Exploring Tumour Ecosystem Dynamics in – silico;236</v>
      </c>
      <c r="P40" t="str">
        <f t="shared" si="9"/>
        <v>Optimizing Radiation Therapy Treatments by Exploring Tumour Ecosystem Dynamics in – silico</v>
      </c>
      <c r="Q40" t="str">
        <f t="shared" si="10"/>
        <v>236</v>
      </c>
    </row>
    <row r="41" spans="1:17" x14ac:dyDescent="0.35">
      <c r="A41" t="s">
        <v>2094</v>
      </c>
      <c r="B41">
        <f t="shared" si="6"/>
        <v>79</v>
      </c>
      <c r="C41">
        <f t="shared" si="0"/>
        <v>80</v>
      </c>
      <c r="D41" t="str">
        <f t="shared" si="1"/>
        <v>=A79</v>
      </c>
      <c r="E41" t="str">
        <f t="shared" si="2"/>
        <v>=A80</v>
      </c>
      <c r="F41" t="str">
        <f>A80</f>
        <v>Horizontal Gene Transfer Leads to Increased Task Acquisition and Genomic Modularity in Digital Organisms;243</v>
      </c>
      <c r="G41" t="str">
        <f>A81</f>
        <v>Michael Wiser, Rosangela Canino-Koning and Charles Ofria</v>
      </c>
      <c r="H41">
        <f t="shared" si="3"/>
        <v>11</v>
      </c>
      <c r="I41" t="e">
        <f t="shared" si="4"/>
        <v>#VALUE!</v>
      </c>
      <c r="J41" t="str">
        <f t="shared" si="5"/>
        <v>Gene Transfer Leads to Increased Task Acquisition and Genomic Modularity in Digital Organisms;243</v>
      </c>
      <c r="P41" t="str">
        <f t="shared" si="9"/>
        <v>Horizontal Gene Transfer Leads to Increased Task Acquisition and Genomic Modularity in Digital Organisms</v>
      </c>
      <c r="Q41" t="str">
        <f t="shared" si="10"/>
        <v>243</v>
      </c>
    </row>
    <row r="42" spans="1:17" x14ac:dyDescent="0.35">
      <c r="A42" t="s">
        <v>2137</v>
      </c>
      <c r="B42">
        <f t="shared" si="6"/>
        <v>81</v>
      </c>
      <c r="C42">
        <f t="shared" si="0"/>
        <v>82</v>
      </c>
      <c r="D42" t="str">
        <f t="shared" si="1"/>
        <v>=A81</v>
      </c>
      <c r="E42" t="str">
        <f t="shared" si="2"/>
        <v>=A82</v>
      </c>
      <c r="F42" t="str">
        <f>A82</f>
        <v>Attractor Landscapes and Information Processing by Convective Obstacle Flows;245</v>
      </c>
      <c r="G42" t="str">
        <f>A83</f>
        <v>Stuart Bartlett and Yuk Yung</v>
      </c>
      <c r="H42">
        <f t="shared" si="3"/>
        <v>10</v>
      </c>
      <c r="I42" t="e">
        <f t="shared" si="4"/>
        <v>#VALUE!</v>
      </c>
      <c r="J42" t="str">
        <f t="shared" si="5"/>
        <v>Landscapes and Information Processing by Convective Obstacle Flows;245</v>
      </c>
      <c r="P42" t="str">
        <f t="shared" si="9"/>
        <v>Attractor Landscapes and Information Processing by Convective Obstacle Flows</v>
      </c>
      <c r="Q42" t="str">
        <f t="shared" si="10"/>
        <v>245</v>
      </c>
    </row>
    <row r="43" spans="1:17" x14ac:dyDescent="0.35">
      <c r="A43" t="s">
        <v>169</v>
      </c>
      <c r="B43">
        <f t="shared" si="6"/>
        <v>83</v>
      </c>
      <c r="C43">
        <f t="shared" si="0"/>
        <v>84</v>
      </c>
      <c r="D43" t="str">
        <f t="shared" si="1"/>
        <v>=A83</v>
      </c>
      <c r="E43" t="str">
        <f t="shared" si="2"/>
        <v>=A84</v>
      </c>
      <c r="F43" t="str">
        <f>A84</f>
        <v>On Sexual Selection in the Presence of Multiple Costly Displays;247</v>
      </c>
      <c r="G43" t="str">
        <f>A85</f>
        <v>Clifford Bohm, Acacia Ackles, Charles Ofria and Arend Hintze</v>
      </c>
      <c r="H43">
        <f t="shared" si="3"/>
        <v>3</v>
      </c>
      <c r="I43" t="e">
        <f t="shared" si="4"/>
        <v>#VALUE!</v>
      </c>
      <c r="J43" t="str">
        <f t="shared" si="5"/>
        <v>Sexual Selection in the Presence of Multiple Costly Displays;247</v>
      </c>
      <c r="P43" t="str">
        <f t="shared" si="9"/>
        <v>On Sexual Selection in the Presence of Multiple Costly Displays</v>
      </c>
      <c r="Q43" t="str">
        <f t="shared" si="10"/>
        <v>247</v>
      </c>
    </row>
    <row r="44" spans="1:17" x14ac:dyDescent="0.35">
      <c r="A44" t="s">
        <v>2138</v>
      </c>
      <c r="B44">
        <f t="shared" si="6"/>
        <v>85</v>
      </c>
      <c r="C44">
        <f t="shared" si="0"/>
        <v>86</v>
      </c>
      <c r="D44" t="str">
        <f t="shared" si="1"/>
        <v>=A85</v>
      </c>
      <c r="E44" t="str">
        <f t="shared" si="2"/>
        <v>=A86</v>
      </c>
      <c r="F44" t="str">
        <f>A86</f>
        <v>Steering the Growth of Adaptive Self-Preserving Dissipative Structures;255</v>
      </c>
      <c r="G44" t="str">
        <f>A87</f>
        <v>Matthew Egbert, Yan Kolezhitskiy and Nathaniel Virgo</v>
      </c>
      <c r="H44">
        <f t="shared" si="3"/>
        <v>9</v>
      </c>
      <c r="I44" t="e">
        <f t="shared" si="4"/>
        <v>#VALUE!</v>
      </c>
      <c r="J44" t="str">
        <f t="shared" si="5"/>
        <v>the Growth of Adaptive Self-Preserving Dissipative Structures;255</v>
      </c>
      <c r="P44" t="str">
        <f t="shared" si="9"/>
        <v>Steering the Growth of Adaptive Self-Preserving Dissipative Structures</v>
      </c>
      <c r="Q44" t="str">
        <f t="shared" si="10"/>
        <v>255</v>
      </c>
    </row>
    <row r="45" spans="1:17" x14ac:dyDescent="0.35">
      <c r="A45" t="s">
        <v>1904</v>
      </c>
      <c r="B45">
        <f t="shared" si="6"/>
        <v>87</v>
      </c>
      <c r="C45">
        <f t="shared" si="0"/>
        <v>88</v>
      </c>
      <c r="D45" t="str">
        <f t="shared" si="1"/>
        <v>=A87</v>
      </c>
      <c r="E45" t="str">
        <f t="shared" si="2"/>
        <v>=A88</v>
      </c>
      <c r="F45" t="str">
        <f>A88</f>
        <v>Complex Systems and Artificial Life: A Decade’s Overview;263</v>
      </c>
      <c r="G45" t="str">
        <f>A89</f>
        <v>Thomas McAtee and Claudia Szabo</v>
      </c>
      <c r="H45">
        <f t="shared" si="3"/>
        <v>8</v>
      </c>
      <c r="I45" t="e">
        <f t="shared" si="4"/>
        <v>#VALUE!</v>
      </c>
      <c r="J45" t="str">
        <f t="shared" si="5"/>
        <v>Systems and Artificial Life: A Decade’s Overview;263</v>
      </c>
      <c r="P45" t="str">
        <f t="shared" si="9"/>
        <v>Complex Systems and Artificial Life: A Decade’s Overview</v>
      </c>
      <c r="Q45" t="str">
        <f t="shared" si="10"/>
        <v>263</v>
      </c>
    </row>
    <row r="46" spans="1:17" x14ac:dyDescent="0.35">
      <c r="A46" t="s">
        <v>2139</v>
      </c>
      <c r="B46">
        <f t="shared" si="6"/>
        <v>89</v>
      </c>
      <c r="C46">
        <f t="shared" si="0"/>
        <v>90</v>
      </c>
      <c r="D46" t="str">
        <f t="shared" si="1"/>
        <v>=A89</v>
      </c>
      <c r="E46" t="str">
        <f t="shared" si="2"/>
        <v>=A90</v>
      </c>
      <c r="F46" t="str">
        <f>A90</f>
        <v>Inferring a Graph’s Topology from Games Played on It;271</v>
      </c>
      <c r="G46" t="str">
        <f>A91</f>
        <v>Douglas Moore and Sara Imari Walker</v>
      </c>
      <c r="H46">
        <f t="shared" si="3"/>
        <v>10</v>
      </c>
      <c r="I46" t="e">
        <f t="shared" si="4"/>
        <v>#VALUE!</v>
      </c>
      <c r="J46" t="str">
        <f t="shared" si="5"/>
        <v>a Graph’s Topology from Games Played on It;271</v>
      </c>
      <c r="P46" t="str">
        <f t="shared" si="9"/>
        <v>Inferring a Graph’s Topology from Games Played on It</v>
      </c>
      <c r="Q46" t="str">
        <f t="shared" si="10"/>
        <v>271</v>
      </c>
    </row>
    <row r="47" spans="1:17" x14ac:dyDescent="0.35">
      <c r="A47" t="s">
        <v>1906</v>
      </c>
      <c r="B47">
        <f t="shared" si="6"/>
        <v>91</v>
      </c>
      <c r="C47">
        <f t="shared" si="0"/>
        <v>92</v>
      </c>
      <c r="D47" t="str">
        <f t="shared" si="1"/>
        <v>=A91</v>
      </c>
      <c r="E47" t="str">
        <f t="shared" si="2"/>
        <v>=A92</v>
      </c>
      <c r="F47" t="str">
        <f>A92</f>
        <v>Inferring Swarm Models Using a Single Monitoring Robot;278</v>
      </c>
      <c r="G47" t="str">
        <f>A93</f>
        <v>Suppanat Ruangdech, Martin Homer and Sabine Hauert</v>
      </c>
      <c r="H47">
        <f t="shared" si="3"/>
        <v>10</v>
      </c>
      <c r="I47" t="e">
        <f t="shared" si="4"/>
        <v>#VALUE!</v>
      </c>
      <c r="J47" t="str">
        <f t="shared" si="5"/>
        <v>Swarm Models Using a Single Monitoring Robot;278</v>
      </c>
      <c r="P47" t="str">
        <f t="shared" si="9"/>
        <v>Inferring Swarm Models Using a Single Monitoring Robot</v>
      </c>
      <c r="Q47" t="str">
        <f t="shared" si="10"/>
        <v>278</v>
      </c>
    </row>
    <row r="48" spans="1:17" x14ac:dyDescent="0.35">
      <c r="A48" t="s">
        <v>2140</v>
      </c>
      <c r="B48">
        <f t="shared" si="6"/>
        <v>93</v>
      </c>
      <c r="C48">
        <f t="shared" si="0"/>
        <v>94</v>
      </c>
      <c r="D48" t="str">
        <f t="shared" si="1"/>
        <v>=A93</v>
      </c>
      <c r="E48" t="str">
        <f t="shared" si="2"/>
        <v>=A94</v>
      </c>
      <c r="F48" t="str">
        <f>A94</f>
        <v>Convolutional Neural Networks for Cellular Automata Classification;280</v>
      </c>
      <c r="G48" t="str">
        <f>A95</f>
        <v>Eric Silverman</v>
      </c>
      <c r="H48">
        <f t="shared" si="3"/>
        <v>14</v>
      </c>
      <c r="I48" t="e">
        <f t="shared" si="4"/>
        <v>#VALUE!</v>
      </c>
      <c r="J48" t="str">
        <f t="shared" si="5"/>
        <v>Neural Networks for Cellular Automata Classification;280</v>
      </c>
      <c r="P48" t="str">
        <f t="shared" si="9"/>
        <v>Convolutional Neural Networks for Cellular Automata Classification</v>
      </c>
      <c r="Q48" t="str">
        <f t="shared" si="10"/>
        <v>280</v>
      </c>
    </row>
    <row r="49" spans="1:17" x14ac:dyDescent="0.35">
      <c r="A49" t="s">
        <v>1909</v>
      </c>
      <c r="B49">
        <f t="shared" si="6"/>
        <v>95</v>
      </c>
      <c r="C49">
        <f t="shared" si="0"/>
        <v>96</v>
      </c>
      <c r="D49" t="str">
        <f t="shared" si="1"/>
        <v>=A95</v>
      </c>
      <c r="E49" t="str">
        <f t="shared" si="2"/>
        <v>=A96</v>
      </c>
      <c r="F49" t="str">
        <f>A96</f>
        <v>Biochemical networks display universal structure across projections and levels of organization;282</v>
      </c>
      <c r="G49" t="str">
        <f>A97</f>
        <v>Harrison Smith, Hyunju Kim and Sara Walker</v>
      </c>
      <c r="H49">
        <f t="shared" si="3"/>
        <v>12</v>
      </c>
      <c r="I49" t="e">
        <f t="shared" si="4"/>
        <v>#VALUE!</v>
      </c>
      <c r="J49" t="str">
        <f t="shared" si="5"/>
        <v>networks display universal structure across projections and levels of organization;282</v>
      </c>
      <c r="P49" t="str">
        <f t="shared" si="9"/>
        <v>Biochemical networks display universal structure across projections and levels of organization</v>
      </c>
      <c r="Q49" t="str">
        <f t="shared" si="10"/>
        <v>282</v>
      </c>
    </row>
    <row r="50" spans="1:17" x14ac:dyDescent="0.35">
      <c r="A50" t="s">
        <v>2141</v>
      </c>
      <c r="B50">
        <f t="shared" si="6"/>
        <v>97</v>
      </c>
      <c r="C50">
        <f t="shared" si="0"/>
        <v>98</v>
      </c>
      <c r="D50" t="str">
        <f t="shared" si="1"/>
        <v>=A97</v>
      </c>
      <c r="E50" t="str">
        <f t="shared" si="2"/>
        <v>=A98</v>
      </c>
      <c r="F50" t="str">
        <f>A98</f>
        <v>Toward the Self-Organisation of Emergency Response Teams Based on Morphogenetic Network Growth284</v>
      </c>
      <c r="G50" t="str">
        <f>A99</f>
        <v>Nicolas Toussaint, Emma Norling and Ren´e Doursat</v>
      </c>
      <c r="H50">
        <f t="shared" si="3"/>
        <v>7</v>
      </c>
      <c r="I50" t="e">
        <f t="shared" si="4"/>
        <v>#VALUE!</v>
      </c>
      <c r="J50" t="str">
        <f t="shared" si="5"/>
        <v>the Self-Organisation of Emergency Response Teams Based on Morphogenetic Network Growth284</v>
      </c>
      <c r="P50" t="str">
        <f t="shared" si="9"/>
        <v>Toward the Self-Organisation of Emergency Response Teams Based on Morphogenetic Network Growt</v>
      </c>
      <c r="Q50" t="str">
        <f t="shared" si="10"/>
        <v>284</v>
      </c>
    </row>
    <row r="51" spans="1:17" x14ac:dyDescent="0.35">
      <c r="A51" t="s">
        <v>1911</v>
      </c>
      <c r="B51">
        <f t="shared" si="6"/>
        <v>99</v>
      </c>
      <c r="C51">
        <f t="shared" si="0"/>
        <v>100</v>
      </c>
      <c r="D51" t="str">
        <f t="shared" si="1"/>
        <v>=A99</v>
      </c>
      <c r="E51" t="str">
        <f t="shared" si="2"/>
        <v>=A100</v>
      </c>
      <c r="F51" t="str">
        <f>A100</f>
        <v>Towards Complex Artificial Life;292</v>
      </c>
      <c r="G51" t="str">
        <f>A101</f>
        <v>Lance Williams</v>
      </c>
      <c r="H51">
        <f t="shared" si="3"/>
        <v>8</v>
      </c>
      <c r="I51" t="e">
        <f t="shared" si="4"/>
        <v>#VALUE!</v>
      </c>
      <c r="J51" t="str">
        <f t="shared" si="5"/>
        <v>Complex Artificial Life;292</v>
      </c>
      <c r="P51" t="str">
        <f t="shared" si="9"/>
        <v>Towards Complex Artificial Life</v>
      </c>
      <c r="Q51" t="str">
        <f t="shared" si="10"/>
        <v>292</v>
      </c>
    </row>
    <row r="52" spans="1:17" x14ac:dyDescent="0.35">
      <c r="A52" t="s">
        <v>2142</v>
      </c>
      <c r="B52">
        <f t="shared" si="6"/>
        <v>101</v>
      </c>
      <c r="C52">
        <f t="shared" si="0"/>
        <v>102</v>
      </c>
      <c r="D52" t="str">
        <f t="shared" si="1"/>
        <v>=A101</v>
      </c>
      <c r="E52" t="str">
        <f t="shared" si="2"/>
        <v>=A102</v>
      </c>
      <c r="F52" t="str">
        <f>A102</f>
        <v>Environmental Harshness and Fitness Improving Innovations;300</v>
      </c>
      <c r="G52" t="str">
        <f>A103</f>
        <v>Peter Andras</v>
      </c>
      <c r="H52">
        <f t="shared" si="3"/>
        <v>14</v>
      </c>
      <c r="I52" t="e">
        <f t="shared" si="4"/>
        <v>#VALUE!</v>
      </c>
      <c r="J52" t="str">
        <f t="shared" si="5"/>
        <v>Harshness and Fitness Improving Innovations;300</v>
      </c>
      <c r="P52" t="str">
        <f t="shared" si="9"/>
        <v>Environmental Harshness and Fitness Improving Innovations</v>
      </c>
      <c r="Q52" t="str">
        <f t="shared" si="10"/>
        <v>300</v>
      </c>
    </row>
    <row r="53" spans="1:17" x14ac:dyDescent="0.35">
      <c r="A53" t="s">
        <v>1913</v>
      </c>
      <c r="B53">
        <f t="shared" si="6"/>
        <v>103</v>
      </c>
      <c r="C53">
        <f t="shared" si="0"/>
        <v>104</v>
      </c>
      <c r="D53" t="str">
        <f t="shared" si="1"/>
        <v>=A103</v>
      </c>
      <c r="E53" t="str">
        <f t="shared" si="2"/>
        <v>=A104</v>
      </c>
      <c r="F53" t="str">
        <f>A104</f>
        <v>Reproductive division of labor in a colony of artificial ants;308</v>
      </c>
      <c r="G53" t="str">
        <f>A105</f>
        <v>Peter Bae and Chris Marriott</v>
      </c>
      <c r="H53">
        <f t="shared" si="3"/>
        <v>13</v>
      </c>
      <c r="I53" t="e">
        <f t="shared" si="4"/>
        <v>#VALUE!</v>
      </c>
      <c r="J53" t="str">
        <f t="shared" si="5"/>
        <v>division of labor in a colony of artificial ants;308</v>
      </c>
      <c r="P53" t="str">
        <f t="shared" si="9"/>
        <v>Reproductive division of labor in a colony of artificial ants</v>
      </c>
      <c r="Q53" t="str">
        <f t="shared" si="10"/>
        <v>308</v>
      </c>
    </row>
    <row r="54" spans="1:17" x14ac:dyDescent="0.35">
      <c r="A54" t="s">
        <v>2143</v>
      </c>
      <c r="B54">
        <f t="shared" si="6"/>
        <v>105</v>
      </c>
      <c r="C54">
        <f t="shared" si="0"/>
        <v>106</v>
      </c>
      <c r="D54" t="str">
        <f t="shared" si="1"/>
        <v>=A105</v>
      </c>
      <c r="E54" t="str">
        <f t="shared" si="2"/>
        <v>=A106</v>
      </c>
      <c r="F54" t="str">
        <f>A106</f>
        <v>Exogenous Rewards for Promoting Cooperation in Scale-Free Networks;316</v>
      </c>
      <c r="G54" t="str">
        <f>A107</f>
        <v>Theodor Cimpeanu, The Anh Han and Francisco C. Santos</v>
      </c>
      <c r="H54">
        <f t="shared" si="3"/>
        <v>10</v>
      </c>
      <c r="I54" t="e">
        <f t="shared" si="4"/>
        <v>#VALUE!</v>
      </c>
      <c r="J54" t="str">
        <f t="shared" si="5"/>
        <v>Rewards for Promoting Cooperation in Scale-Free Networks;316</v>
      </c>
      <c r="P54" t="str">
        <f t="shared" si="9"/>
        <v>Exogenous Rewards for Promoting Cooperation in Scale-Free Networks</v>
      </c>
      <c r="Q54" t="str">
        <f t="shared" si="10"/>
        <v>316</v>
      </c>
    </row>
    <row r="55" spans="1:17" x14ac:dyDescent="0.35">
      <c r="A55" t="s">
        <v>1915</v>
      </c>
      <c r="B55">
        <f t="shared" si="6"/>
        <v>107</v>
      </c>
      <c r="C55">
        <f t="shared" si="0"/>
        <v>108</v>
      </c>
      <c r="D55" t="str">
        <f t="shared" si="1"/>
        <v>=A107</v>
      </c>
      <c r="E55" t="str">
        <f t="shared" si="2"/>
        <v>=A108</v>
      </c>
      <c r="F55" t="str">
        <f>A108</f>
        <v>Simplified Modeling of the Evolution of Skills in a Spatially Resolved Environment;324</v>
      </c>
      <c r="G55" t="str">
        <f>A109</f>
        <v>Rudolf M. F¨uchslin, Johannes J. Schneider, Thomas Ott and Richard Walker</v>
      </c>
      <c r="H55">
        <f t="shared" si="3"/>
        <v>11</v>
      </c>
      <c r="I55" t="e">
        <f t="shared" si="4"/>
        <v>#VALUE!</v>
      </c>
      <c r="J55" t="str">
        <f t="shared" si="5"/>
        <v>Modeling of the Evolution of Skills in a Spatially Resolved Environment;324</v>
      </c>
      <c r="P55" t="str">
        <f t="shared" si="9"/>
        <v>Simplified Modeling of the Evolution of Skills in a Spatially Resolved Environment</v>
      </c>
      <c r="Q55" t="str">
        <f t="shared" si="10"/>
        <v>324</v>
      </c>
    </row>
    <row r="56" spans="1:17" x14ac:dyDescent="0.35">
      <c r="A56" t="s">
        <v>2144</v>
      </c>
      <c r="B56">
        <f t="shared" si="6"/>
        <v>109</v>
      </c>
      <c r="C56">
        <f t="shared" si="0"/>
        <v>110</v>
      </c>
      <c r="D56" t="str">
        <f t="shared" si="1"/>
        <v>=A109</v>
      </c>
      <c r="E56" t="str">
        <f t="shared" si="2"/>
        <v>=A110</v>
      </c>
      <c r="F56" t="str">
        <f>A110</f>
        <v>Promoting Cooperation through External Interference;331</v>
      </c>
      <c r="G56" t="str">
        <f>A111</f>
        <v>The Anh Han, Long Tran-Thanh, Simon Lynch, Theodor Cimpeanu and Francisco C. Santos</v>
      </c>
      <c r="H56">
        <f t="shared" si="3"/>
        <v>10</v>
      </c>
      <c r="I56" t="e">
        <f t="shared" si="4"/>
        <v>#VALUE!</v>
      </c>
      <c r="J56" t="str">
        <f t="shared" si="5"/>
        <v>Cooperation through External Interference;331</v>
      </c>
      <c r="P56" t="str">
        <f t="shared" si="9"/>
        <v>Promoting Cooperation through External Interference</v>
      </c>
      <c r="Q56" t="str">
        <f t="shared" si="10"/>
        <v>331</v>
      </c>
    </row>
    <row r="57" spans="1:17" x14ac:dyDescent="0.35">
      <c r="A57" t="s">
        <v>1356</v>
      </c>
      <c r="B57">
        <f t="shared" si="6"/>
        <v>111</v>
      </c>
      <c r="C57">
        <f t="shared" si="0"/>
        <v>112</v>
      </c>
      <c r="D57" t="str">
        <f t="shared" si="1"/>
        <v>=A111</v>
      </c>
      <c r="E57" t="str">
        <f t="shared" si="2"/>
        <v>=A112</v>
      </c>
      <c r="F57" t="str">
        <f>A112</f>
        <v>Factors that Affect the Evolution of Complex Cooperative Behavior;333</v>
      </c>
      <c r="G57" t="str">
        <f>A113</f>
        <v>Padmini Rajagopalan, Kay Holekamp and Risto Miikkulainen</v>
      </c>
      <c r="H57">
        <f t="shared" si="3"/>
        <v>8</v>
      </c>
      <c r="I57" t="e">
        <f t="shared" si="4"/>
        <v>#VALUE!</v>
      </c>
      <c r="J57" t="str">
        <f t="shared" si="5"/>
        <v>that Affect the Evolution of Complex Cooperative Behavior;333</v>
      </c>
      <c r="P57" t="str">
        <f t="shared" si="9"/>
        <v>Factors that Affect the Evolution of Complex Cooperative Behavior</v>
      </c>
      <c r="Q57" t="str">
        <f t="shared" si="10"/>
        <v>333</v>
      </c>
    </row>
    <row r="58" spans="1:17" x14ac:dyDescent="0.35">
      <c r="A58" t="s">
        <v>2145</v>
      </c>
      <c r="B58">
        <f t="shared" si="6"/>
        <v>113</v>
      </c>
      <c r="C58">
        <f t="shared" si="0"/>
        <v>114</v>
      </c>
      <c r="D58" t="str">
        <f t="shared" si="1"/>
        <v>=A113</v>
      </c>
      <c r="E58" t="str">
        <f t="shared" si="2"/>
        <v>=A114</v>
      </c>
      <c r="F58" t="str">
        <f>A114</f>
        <v>Towards modelling social habits: an organismically inspired evolutionary robotics approach;341</v>
      </c>
      <c r="G58" t="str">
        <f>A115</f>
        <v>Manuel G Bedia, Manuel Heras-Escribano, Diego Cajal, Miguel Aguilera and Xabier E. Barandiaran</v>
      </c>
      <c r="H58">
        <f t="shared" si="3"/>
        <v>8</v>
      </c>
      <c r="I58" t="e">
        <f t="shared" si="4"/>
        <v>#VALUE!</v>
      </c>
      <c r="J58" t="str">
        <f t="shared" si="5"/>
        <v>modelling social habits: an organismically inspired evolutionary robotics approach;341</v>
      </c>
      <c r="P58" t="str">
        <f t="shared" si="9"/>
        <v>Towards modelling social habits: an organismically inspired evolutionary robotics approach</v>
      </c>
      <c r="Q58" t="str">
        <f t="shared" si="10"/>
        <v>341</v>
      </c>
    </row>
    <row r="59" spans="1:17" x14ac:dyDescent="0.35">
      <c r="A59" t="s">
        <v>1919</v>
      </c>
      <c r="B59">
        <f t="shared" si="6"/>
        <v>115</v>
      </c>
      <c r="C59">
        <f t="shared" si="0"/>
        <v>116</v>
      </c>
      <c r="D59" t="str">
        <f t="shared" si="1"/>
        <v>=A115</v>
      </c>
      <c r="E59" t="str">
        <f t="shared" si="2"/>
        <v>=A116</v>
      </c>
      <c r="F59" t="str">
        <f>A116</f>
        <v>Speciation under changing environments;349</v>
      </c>
      <c r="G59" t="str">
        <f>A117</f>
        <v>Kevin Dubois, Sylvain Cussat-Blanc and Yves Duthen</v>
      </c>
      <c r="H59">
        <f t="shared" si="3"/>
        <v>11</v>
      </c>
      <c r="I59" t="e">
        <f t="shared" si="4"/>
        <v>#VALUE!</v>
      </c>
      <c r="J59" t="str">
        <f t="shared" si="5"/>
        <v>under changing environments;349</v>
      </c>
      <c r="P59" t="str">
        <f t="shared" si="9"/>
        <v>Speciation under changing environments</v>
      </c>
      <c r="Q59" t="str">
        <f t="shared" si="10"/>
        <v>349</v>
      </c>
    </row>
    <row r="60" spans="1:17" x14ac:dyDescent="0.35">
      <c r="A60" t="s">
        <v>2146</v>
      </c>
      <c r="B60">
        <f t="shared" si="6"/>
        <v>117</v>
      </c>
      <c r="C60">
        <f t="shared" si="0"/>
        <v>118</v>
      </c>
      <c r="D60" t="str">
        <f t="shared" si="1"/>
        <v>=A117</v>
      </c>
      <c r="E60" t="str">
        <f t="shared" si="2"/>
        <v>=A118</v>
      </c>
      <c r="F60" t="str">
        <f>A118</f>
        <v>To evolve or not to evolve? That is the question;357</v>
      </c>
      <c r="G60" t="str">
        <f>A119</f>
        <v>Alex Ellery and Gusz Eiben</v>
      </c>
      <c r="H60">
        <f t="shared" si="3"/>
        <v>3</v>
      </c>
      <c r="I60" t="e">
        <f t="shared" si="4"/>
        <v>#VALUE!</v>
      </c>
      <c r="J60" t="str">
        <f t="shared" si="5"/>
        <v>evolve or not to evolve? That is the question;357</v>
      </c>
      <c r="P60" t="str">
        <f t="shared" si="9"/>
        <v>To evolve or not to evolve? That is the question</v>
      </c>
      <c r="Q60" t="str">
        <f t="shared" si="10"/>
        <v>357</v>
      </c>
    </row>
    <row r="61" spans="1:17" x14ac:dyDescent="0.35">
      <c r="A61" t="s">
        <v>1921</v>
      </c>
      <c r="B61">
        <f t="shared" si="6"/>
        <v>119</v>
      </c>
      <c r="C61">
        <f t="shared" si="0"/>
        <v>120</v>
      </c>
      <c r="D61" t="str">
        <f t="shared" si="1"/>
        <v>=A119</v>
      </c>
      <c r="E61" t="str">
        <f t="shared" si="2"/>
        <v>=A120</v>
      </c>
      <c r="F61" t="str">
        <f>A120</f>
        <v>Evolutionary rates of information gain and decay in fluctuating environments;365</v>
      </c>
      <c r="G61" t="str">
        <f>A121</f>
        <v>Nicholas Guttenberg</v>
      </c>
      <c r="H61">
        <f t="shared" si="3"/>
        <v>13</v>
      </c>
      <c r="I61" t="e">
        <f t="shared" si="4"/>
        <v>#VALUE!</v>
      </c>
      <c r="J61" t="str">
        <f t="shared" si="5"/>
        <v>rates of information gain and decay in fluctuating environments;365</v>
      </c>
      <c r="P61" t="str">
        <f t="shared" si="9"/>
        <v>Evolutionary rates of information gain and decay in fluctuating environments</v>
      </c>
      <c r="Q61" t="str">
        <f t="shared" si="10"/>
        <v>365</v>
      </c>
    </row>
    <row r="62" spans="1:17" x14ac:dyDescent="0.35">
      <c r="A62" t="s">
        <v>2147</v>
      </c>
      <c r="B62">
        <f t="shared" si="6"/>
        <v>121</v>
      </c>
      <c r="C62">
        <f t="shared" si="0"/>
        <v>122</v>
      </c>
      <c r="D62" t="str">
        <f t="shared" si="1"/>
        <v>=A121</v>
      </c>
      <c r="E62" t="str">
        <f t="shared" si="2"/>
        <v>=A122</v>
      </c>
      <c r="F62" t="str">
        <f>A122</f>
        <v>Modulating Interaction Times in an Artificial Society of Robots;372</v>
      </c>
      <c r="G62" t="str">
        <f>A123</f>
        <v>Yara Khaluf and Heiko Hamann</v>
      </c>
      <c r="H62">
        <f t="shared" si="3"/>
        <v>11</v>
      </c>
      <c r="I62" t="e">
        <f t="shared" si="4"/>
        <v>#VALUE!</v>
      </c>
      <c r="J62" t="str">
        <f t="shared" si="5"/>
        <v>Interaction Times in an Artificial Society of Robots;372</v>
      </c>
      <c r="P62" t="str">
        <f t="shared" si="9"/>
        <v>Modulating Interaction Times in an Artificial Society of Robots</v>
      </c>
      <c r="Q62" t="str">
        <f t="shared" si="10"/>
        <v>372</v>
      </c>
    </row>
    <row r="63" spans="1:17" x14ac:dyDescent="0.35">
      <c r="A63" t="s">
        <v>1923</v>
      </c>
      <c r="B63">
        <f t="shared" si="6"/>
        <v>123</v>
      </c>
      <c r="C63">
        <f t="shared" si="0"/>
        <v>124</v>
      </c>
      <c r="D63" t="str">
        <f t="shared" si="1"/>
        <v>=A123</v>
      </c>
      <c r="E63" t="str">
        <f t="shared" si="2"/>
        <v>=A124</v>
      </c>
      <c r="F63" t="str">
        <f>A124</f>
        <v>Acclivation of Virtual Fitness Landscapes;380</v>
      </c>
      <c r="G63" t="str">
        <f>A125</f>
        <v>Ben Kovitz, David Bender and Marcela Poffald</v>
      </c>
      <c r="H63">
        <f t="shared" si="3"/>
        <v>12</v>
      </c>
      <c r="I63" t="e">
        <f t="shared" si="4"/>
        <v>#VALUE!</v>
      </c>
      <c r="J63" t="str">
        <f t="shared" si="5"/>
        <v>of Virtual Fitness Landscapes;380</v>
      </c>
      <c r="P63" t="str">
        <f t="shared" si="9"/>
        <v>Acclivation of Virtual Fitness Landscapes</v>
      </c>
      <c r="Q63" t="str">
        <f t="shared" si="10"/>
        <v>380</v>
      </c>
    </row>
    <row r="64" spans="1:17" x14ac:dyDescent="0.35">
      <c r="A64" t="s">
        <v>2148</v>
      </c>
      <c r="B64">
        <f t="shared" si="6"/>
        <v>125</v>
      </c>
      <c r="C64">
        <f t="shared" si="0"/>
        <v>126</v>
      </c>
      <c r="D64" t="str">
        <f t="shared" si="1"/>
        <v>=A125</v>
      </c>
      <c r="E64" t="str">
        <f t="shared" si="2"/>
        <v>=A126</v>
      </c>
      <c r="F64" t="str">
        <f>A126</f>
        <v>Continuous Long-Term Evolution of Genetic Programming;388</v>
      </c>
      <c r="G64" t="str">
        <f>A127</f>
        <v>W B Langdon and W Banzhaf</v>
      </c>
      <c r="H64">
        <f t="shared" si="3"/>
        <v>11</v>
      </c>
      <c r="I64" t="e">
        <f t="shared" si="4"/>
        <v>#VALUE!</v>
      </c>
      <c r="J64" t="str">
        <f t="shared" si="5"/>
        <v>Long-Term Evolution of Genetic Programming;388</v>
      </c>
      <c r="P64" t="str">
        <f t="shared" si="9"/>
        <v>Continuous Long-Term Evolution of Genetic Programming</v>
      </c>
      <c r="Q64" t="str">
        <f t="shared" si="10"/>
        <v>388</v>
      </c>
    </row>
    <row r="65" spans="1:17" x14ac:dyDescent="0.35">
      <c r="A65" t="s">
        <v>1925</v>
      </c>
      <c r="B65">
        <f t="shared" si="6"/>
        <v>127</v>
      </c>
      <c r="C65">
        <f t="shared" si="0"/>
        <v>128</v>
      </c>
      <c r="D65" t="str">
        <f t="shared" si="1"/>
        <v>=A127</v>
      </c>
      <c r="E65" t="str">
        <f t="shared" si="2"/>
        <v>=A128</v>
      </c>
      <c r="F65" t="str">
        <f>A128</f>
        <v>The impact of environmental history on evolved robot properties;396</v>
      </c>
      <c r="G65" t="str">
        <f>A129</f>
        <v>Karine Miras and A.E. Eiben</v>
      </c>
      <c r="H65">
        <f t="shared" si="3"/>
        <v>4</v>
      </c>
      <c r="I65" t="e">
        <f t="shared" si="4"/>
        <v>#VALUE!</v>
      </c>
      <c r="J65" t="str">
        <f t="shared" si="5"/>
        <v>impact of environmental history on evolved robot properties;396</v>
      </c>
      <c r="P65" t="str">
        <f t="shared" si="9"/>
        <v>The impact of environmental history on evolved robot properties</v>
      </c>
      <c r="Q65" t="str">
        <f t="shared" si="10"/>
        <v>396</v>
      </c>
    </row>
    <row r="66" spans="1:17" x14ac:dyDescent="0.35">
      <c r="A66" t="s">
        <v>2149</v>
      </c>
      <c r="B66">
        <f t="shared" si="6"/>
        <v>129</v>
      </c>
      <c r="C66">
        <f t="shared" si="0"/>
        <v>130</v>
      </c>
      <c r="D66" t="str">
        <f t="shared" si="1"/>
        <v>=A129</v>
      </c>
      <c r="E66" t="str">
        <f t="shared" si="2"/>
        <v>=A130</v>
      </c>
      <c r="F66" t="str">
        <f>A130</f>
        <v>The Cost of Big Brains in Groups;404</v>
      </c>
      <c r="G66" t="str">
        <f>A131</f>
        <v>Geoff Nitschke, Alex Furman and Danielle Nagar</v>
      </c>
      <c r="H66">
        <f t="shared" si="3"/>
        <v>4</v>
      </c>
      <c r="I66" t="e">
        <f t="shared" si="4"/>
        <v>#VALUE!</v>
      </c>
      <c r="J66" t="str">
        <f t="shared" si="5"/>
        <v>Cost of Big Brains in Groups;404</v>
      </c>
      <c r="P66" t="str">
        <f t="shared" si="9"/>
        <v>The Cost of Big Brains in Groups</v>
      </c>
      <c r="Q66" t="str">
        <f t="shared" si="10"/>
        <v>404</v>
      </c>
    </row>
    <row r="67" spans="1:17" x14ac:dyDescent="0.35">
      <c r="A67" t="s">
        <v>1928</v>
      </c>
      <c r="B67">
        <f t="shared" si="6"/>
        <v>131</v>
      </c>
      <c r="C67">
        <f t="shared" ref="C67:C130" si="11">B67+1</f>
        <v>132</v>
      </c>
      <c r="D67" t="str">
        <f t="shared" ref="D67:D130" si="12">_xlfn.CONCAT("=A",B67)</f>
        <v>=A131</v>
      </c>
      <c r="E67" t="str">
        <f t="shared" ref="E67:E130" si="13">_xlfn.CONCAT("=A",C67)</f>
        <v>=A132</v>
      </c>
      <c r="F67" t="str">
        <f>A132</f>
        <v>Graph Product Representation of Organism-Environment Couplings in Evolution;412</v>
      </c>
      <c r="G67" t="str">
        <f>A133</f>
        <v>Hiroki Sayama</v>
      </c>
      <c r="H67">
        <f t="shared" ref="H67:H130" si="14">SEARCH(" ",F67)</f>
        <v>6</v>
      </c>
      <c r="I67" t="e">
        <f t="shared" ref="I67:I130" si="15">LEFT(F67,H67-1)+1-1</f>
        <v>#VALUE!</v>
      </c>
      <c r="J67" t="str">
        <f t="shared" ref="J67:J130" si="16">RIGHT(F67,LEN(F67)-H67)</f>
        <v>Product Representation of Organism-Environment Couplings in Evolution;412</v>
      </c>
      <c r="P67" t="str">
        <f t="shared" si="9"/>
        <v>Graph Product Representation of Organism-Environment Couplings in Evolution</v>
      </c>
      <c r="Q67" t="str">
        <f t="shared" si="10"/>
        <v>412</v>
      </c>
    </row>
    <row r="68" spans="1:17" x14ac:dyDescent="0.35">
      <c r="A68" t="s">
        <v>2150</v>
      </c>
      <c r="B68">
        <f t="shared" ref="B68:B131" si="17">B67+2</f>
        <v>133</v>
      </c>
      <c r="C68">
        <f t="shared" si="11"/>
        <v>134</v>
      </c>
      <c r="D68" t="str">
        <f t="shared" si="12"/>
        <v>=A133</v>
      </c>
      <c r="E68" t="str">
        <f t="shared" si="13"/>
        <v>=A134</v>
      </c>
      <c r="F68" t="str">
        <f>A134</f>
        <v>Maximization of Transfer Entropy leads to Evolution of Functional Differentiation of Swarms;414</v>
      </c>
      <c r="G68" t="str">
        <f>A135</f>
        <v>Hiromitsu Suganuma, Yuji Kawai, Jihoon Park and Minoru Asada</v>
      </c>
      <c r="H68">
        <f t="shared" si="14"/>
        <v>13</v>
      </c>
      <c r="I68" t="e">
        <f t="shared" si="15"/>
        <v>#VALUE!</v>
      </c>
      <c r="J68" t="str">
        <f t="shared" si="16"/>
        <v>of Transfer Entropy leads to Evolution of Functional Differentiation of Swarms;414</v>
      </c>
      <c r="P68" t="str">
        <f t="shared" si="9"/>
        <v>Maximization of Transfer Entropy leads to Evolution of Functional Differentiation of Swarms</v>
      </c>
      <c r="Q68" t="str">
        <f t="shared" si="10"/>
        <v>414</v>
      </c>
    </row>
    <row r="69" spans="1:17" x14ac:dyDescent="0.35">
      <c r="A69" t="s">
        <v>1930</v>
      </c>
      <c r="B69">
        <f t="shared" si="17"/>
        <v>135</v>
      </c>
      <c r="C69">
        <f t="shared" si="11"/>
        <v>136</v>
      </c>
      <c r="D69" t="str">
        <f t="shared" si="12"/>
        <v>=A135</v>
      </c>
      <c r="E69" t="str">
        <f t="shared" si="13"/>
        <v>=A136</v>
      </c>
      <c r="F69" t="str">
        <f>A136</f>
        <v>Evolving Recurrent Neural Network Controllers by Incremental Fitness Shaping;416</v>
      </c>
      <c r="G69" t="str">
        <f>A137</f>
        <v>Kaan Akinci and Andy Philippides</v>
      </c>
      <c r="H69">
        <f t="shared" si="14"/>
        <v>9</v>
      </c>
      <c r="I69" t="e">
        <f t="shared" si="15"/>
        <v>#VALUE!</v>
      </c>
      <c r="J69" t="str">
        <f t="shared" si="16"/>
        <v>Recurrent Neural Network Controllers by Incremental Fitness Shaping;416</v>
      </c>
      <c r="P69" t="str">
        <f t="shared" si="9"/>
        <v>Evolving Recurrent Neural Network Controllers by Incremental Fitness Shaping</v>
      </c>
      <c r="Q69" t="str">
        <f t="shared" si="10"/>
        <v>416</v>
      </c>
    </row>
    <row r="70" spans="1:17" x14ac:dyDescent="0.35">
      <c r="A70" t="s">
        <v>2151</v>
      </c>
      <c r="B70">
        <f t="shared" si="17"/>
        <v>137</v>
      </c>
      <c r="C70">
        <f t="shared" si="11"/>
        <v>138</v>
      </c>
      <c r="D70" t="str">
        <f t="shared" si="12"/>
        <v>=A137</v>
      </c>
      <c r="E70" t="str">
        <f t="shared" si="13"/>
        <v>=A138</v>
      </c>
      <c r="F70" t="str">
        <f>A138</f>
        <v>Self-Replication in Neural Networks;424</v>
      </c>
      <c r="G70" t="str">
        <f>A139</f>
        <v>Thomas Gabor, Steffen Illium, Andy Mattausch, Lenz Belzner and Claudia Linnhoff-Popien</v>
      </c>
      <c r="H70">
        <f t="shared" si="14"/>
        <v>17</v>
      </c>
      <c r="I70" t="e">
        <f t="shared" si="15"/>
        <v>#VALUE!</v>
      </c>
      <c r="J70" t="str">
        <f t="shared" si="16"/>
        <v>in Neural Networks;424</v>
      </c>
      <c r="P70" t="str">
        <f t="shared" si="9"/>
        <v>Self-Replication in Neural Networks</v>
      </c>
      <c r="Q70" t="str">
        <f t="shared" si="10"/>
        <v>424</v>
      </c>
    </row>
    <row r="71" spans="1:17" x14ac:dyDescent="0.35">
      <c r="A71" t="s">
        <v>1932</v>
      </c>
      <c r="B71">
        <f t="shared" si="17"/>
        <v>139</v>
      </c>
      <c r="C71">
        <f t="shared" si="11"/>
        <v>140</v>
      </c>
      <c r="D71" t="str">
        <f t="shared" si="12"/>
        <v>=A139</v>
      </c>
      <c r="E71" t="str">
        <f t="shared" si="13"/>
        <v>=A140</v>
      </c>
      <c r="F71" t="str">
        <f>A140</f>
        <v>The role of ambient noise in the evolution of robust mental representations in cognitive systems;432</v>
      </c>
      <c r="G71" t="str">
        <f>A141</f>
        <v>Douglas Kirkpatrick and Arend Hintze</v>
      </c>
      <c r="H71">
        <f t="shared" si="14"/>
        <v>4</v>
      </c>
      <c r="I71" t="e">
        <f t="shared" si="15"/>
        <v>#VALUE!</v>
      </c>
      <c r="J71" t="str">
        <f t="shared" si="16"/>
        <v>role of ambient noise in the evolution of robust mental representations in cognitive systems;432</v>
      </c>
      <c r="P71" t="str">
        <f t="shared" si="9"/>
        <v>The role of ambient noise in the evolution of robust mental representations in cognitive systems</v>
      </c>
      <c r="Q71" t="str">
        <f t="shared" si="10"/>
        <v>432</v>
      </c>
    </row>
    <row r="72" spans="1:17" x14ac:dyDescent="0.35">
      <c r="A72" t="s">
        <v>2152</v>
      </c>
      <c r="B72">
        <f t="shared" si="17"/>
        <v>141</v>
      </c>
      <c r="C72">
        <f t="shared" si="11"/>
        <v>142</v>
      </c>
      <c r="D72" t="str">
        <f t="shared" si="12"/>
        <v>=A141</v>
      </c>
      <c r="E72" t="str">
        <f t="shared" si="13"/>
        <v>=A142</v>
      </c>
      <c r="F72" t="str">
        <f>A142</f>
        <v>Probabilistic Program Neurogenesis;440</v>
      </c>
      <c r="G72" t="str">
        <f>A143</f>
        <v>Charles Martin and Praveen Pilly</v>
      </c>
      <c r="H72">
        <f t="shared" si="14"/>
        <v>14</v>
      </c>
      <c r="I72" t="e">
        <f t="shared" si="15"/>
        <v>#VALUE!</v>
      </c>
      <c r="J72" t="str">
        <f t="shared" si="16"/>
        <v>Program Neurogenesis;440</v>
      </c>
      <c r="P72" t="str">
        <f t="shared" si="9"/>
        <v>Probabilistic Program Neurogenesis</v>
      </c>
      <c r="Q72" t="str">
        <f t="shared" si="10"/>
        <v>440</v>
      </c>
    </row>
    <row r="73" spans="1:17" x14ac:dyDescent="0.35">
      <c r="A73" t="s">
        <v>1387</v>
      </c>
      <c r="B73">
        <f t="shared" si="17"/>
        <v>143</v>
      </c>
      <c r="C73">
        <f t="shared" si="11"/>
        <v>144</v>
      </c>
      <c r="D73" t="str">
        <f t="shared" si="12"/>
        <v>=A143</v>
      </c>
      <c r="E73" t="str">
        <f t="shared" si="13"/>
        <v>=A144</v>
      </c>
      <c r="F73" t="str">
        <f>A144</f>
        <v>Self-optimization in a Hopfield neural network based on the C. elegans connectome;448</v>
      </c>
      <c r="G73" t="str">
        <f>A145</f>
        <v>Alejandro Ehecatl Morales Huitr´on and Tom Froese</v>
      </c>
      <c r="H73">
        <f t="shared" si="14"/>
        <v>18</v>
      </c>
      <c r="I73" t="e">
        <f t="shared" si="15"/>
        <v>#VALUE!</v>
      </c>
      <c r="J73" t="str">
        <f t="shared" si="16"/>
        <v>in a Hopfield neural network based on the C. elegans connectome;448</v>
      </c>
      <c r="P73" t="str">
        <f t="shared" si="9"/>
        <v>Self-optimization in a Hopfield neural network based on the C. elegans connectome</v>
      </c>
      <c r="Q73" t="str">
        <f t="shared" si="10"/>
        <v>448</v>
      </c>
    </row>
    <row r="74" spans="1:17" x14ac:dyDescent="0.35">
      <c r="A74" t="s">
        <v>2153</v>
      </c>
      <c r="B74">
        <f t="shared" si="17"/>
        <v>145</v>
      </c>
      <c r="C74">
        <f t="shared" si="11"/>
        <v>146</v>
      </c>
      <c r="D74" t="str">
        <f t="shared" si="12"/>
        <v>=A145</v>
      </c>
      <c r="E74" t="str">
        <f t="shared" si="13"/>
        <v>=A146</v>
      </c>
      <c r="F74" t="str">
        <f>A146</f>
        <v>DNN Architecture for High Performance Prediction on Natural Videos Loses Submodule’s Ability to Learn Discrete-World Dataset;454</v>
      </c>
      <c r="G74" t="str">
        <f>A147</f>
        <v>Lana Sinapayen and Atsushi Noda</v>
      </c>
      <c r="H74">
        <f t="shared" si="14"/>
        <v>4</v>
      </c>
      <c r="I74" t="e">
        <f t="shared" si="15"/>
        <v>#VALUE!</v>
      </c>
      <c r="J74" t="str">
        <f t="shared" si="16"/>
        <v>Architecture for High Performance Prediction on Natural Videos Loses Submodule’s Ability to Learn Discrete-World Dataset;454</v>
      </c>
      <c r="P74" t="str">
        <f t="shared" si="9"/>
        <v>DNN Architecture for High Performance Prediction on Natural Videos Loses Submodule’s Ability to Learn Discrete-World Dataset</v>
      </c>
      <c r="Q74" t="str">
        <f t="shared" si="10"/>
        <v>454</v>
      </c>
    </row>
    <row r="75" spans="1:17" x14ac:dyDescent="0.35">
      <c r="A75" t="s">
        <v>1936</v>
      </c>
      <c r="B75">
        <f t="shared" si="17"/>
        <v>147</v>
      </c>
      <c r="C75">
        <f t="shared" si="11"/>
        <v>148</v>
      </c>
      <c r="D75" t="str">
        <f t="shared" si="12"/>
        <v>=A147</v>
      </c>
      <c r="E75" t="str">
        <f t="shared" si="13"/>
        <v>=A148</v>
      </c>
      <c r="F75" t="str">
        <f>A148</f>
        <v>Evolution of metamemory ability by artificial neural networks with neuromodulation;461</v>
      </c>
      <c r="G75" t="str">
        <f>A149</f>
        <v>Yusuke Yamato, Reiji Suzuki and Takaya Arita</v>
      </c>
      <c r="H75">
        <f t="shared" si="14"/>
        <v>10</v>
      </c>
      <c r="I75" t="e">
        <f t="shared" si="15"/>
        <v>#VALUE!</v>
      </c>
      <c r="J75" t="str">
        <f t="shared" si="16"/>
        <v>of metamemory ability by artificial neural networks with neuromodulation;461</v>
      </c>
      <c r="P75" t="str">
        <f t="shared" si="9"/>
        <v>Evolution of metamemory ability by artificial neural networks with neuromodulation</v>
      </c>
      <c r="Q75" t="str">
        <f t="shared" si="10"/>
        <v>461</v>
      </c>
    </row>
    <row r="76" spans="1:17" x14ac:dyDescent="0.35">
      <c r="A76" t="s">
        <v>2154</v>
      </c>
      <c r="B76">
        <f t="shared" si="17"/>
        <v>149</v>
      </c>
      <c r="C76">
        <f t="shared" si="11"/>
        <v>150</v>
      </c>
      <c r="D76" t="str">
        <f t="shared" si="12"/>
        <v>=A149</v>
      </c>
      <c r="E76" t="str">
        <f t="shared" si="13"/>
        <v>=A150</v>
      </c>
      <c r="F76" t="str">
        <f>A150</f>
        <v>Robotic models of obstacle avoidance in bats: assessing the benefit of acoustic gaze scanning in complex environments;463</v>
      </c>
      <c r="G76" t="str">
        <f>A151</f>
        <v>Carl Bou Mansour, Elijah Koreman, Dennis Laurijssen, Jan Steckel, Herbert Peremans and Dieter Vanderelst</v>
      </c>
      <c r="H76">
        <f t="shared" si="14"/>
        <v>8</v>
      </c>
      <c r="I76" t="e">
        <f t="shared" si="15"/>
        <v>#VALUE!</v>
      </c>
      <c r="J76" t="str">
        <f t="shared" si="16"/>
        <v>models of obstacle avoidance in bats: assessing the benefit of acoustic gaze scanning in complex environments;463</v>
      </c>
      <c r="P76" t="str">
        <f t="shared" si="9"/>
        <v>Robotic models of obstacle avoidance in bats: assessing the benefit of acoustic gaze scanning in complex environments</v>
      </c>
      <c r="Q76" t="str">
        <f t="shared" si="10"/>
        <v>463</v>
      </c>
    </row>
    <row r="77" spans="1:17" x14ac:dyDescent="0.35">
      <c r="A77" t="s">
        <v>1938</v>
      </c>
      <c r="B77">
        <f t="shared" si="17"/>
        <v>151</v>
      </c>
      <c r="C77">
        <f t="shared" si="11"/>
        <v>152</v>
      </c>
      <c r="D77" t="str">
        <f t="shared" si="12"/>
        <v>=A151</v>
      </c>
      <c r="E77" t="str">
        <f t="shared" si="13"/>
        <v>=A152</v>
      </c>
      <c r="F77" t="str">
        <f>A152</f>
        <v>A-life Evolution with Human Proxies;465</v>
      </c>
      <c r="G77" t="str">
        <f>A153</f>
        <v>Vadim Bulitko, Kacy Doucet, Daniel Evans, Hope Docking, Mac Walters, Marilene Oliver, Julian Chow, Shelby Carleton and Natali Kendal-Freedman</v>
      </c>
      <c r="H77">
        <f t="shared" si="14"/>
        <v>7</v>
      </c>
      <c r="I77" t="e">
        <f t="shared" si="15"/>
        <v>#VALUE!</v>
      </c>
      <c r="J77" t="str">
        <f t="shared" si="16"/>
        <v>Evolution with Human Proxies;465</v>
      </c>
      <c r="P77" t="str">
        <f t="shared" si="9"/>
        <v>A-life Evolution with Human Proxies</v>
      </c>
      <c r="Q77" t="str">
        <f t="shared" si="10"/>
        <v>465</v>
      </c>
    </row>
    <row r="78" spans="1:17" x14ac:dyDescent="0.35">
      <c r="A78" t="s">
        <v>2155</v>
      </c>
      <c r="B78">
        <f t="shared" si="17"/>
        <v>153</v>
      </c>
      <c r="C78">
        <f t="shared" si="11"/>
        <v>154</v>
      </c>
      <c r="D78" t="str">
        <f t="shared" si="12"/>
        <v>=A153</v>
      </c>
      <c r="E78" t="str">
        <f t="shared" si="13"/>
        <v>=A154</v>
      </c>
      <c r="F78" t="str">
        <f>A154</f>
        <v>Stability of Cooperation in Societies of Emotional and Moody Agents;467</v>
      </c>
      <c r="G78" t="str">
        <f>A155</f>
        <v>Joe Collenette, Katie Atkinson, Daan Bloembergen and Karl Tuyls</v>
      </c>
      <c r="H78">
        <f t="shared" si="14"/>
        <v>10</v>
      </c>
      <c r="I78" t="e">
        <f t="shared" si="15"/>
        <v>#VALUE!</v>
      </c>
      <c r="J78" t="str">
        <f t="shared" si="16"/>
        <v>of Cooperation in Societies of Emotional and Moody Agents;467</v>
      </c>
      <c r="P78" t="str">
        <f t="shared" si="9"/>
        <v>Stability of Cooperation in Societies of Emotional and Moody Agents</v>
      </c>
      <c r="Q78" t="str">
        <f t="shared" si="10"/>
        <v>467</v>
      </c>
    </row>
    <row r="79" spans="1:17" x14ac:dyDescent="0.35">
      <c r="A79" t="s">
        <v>1940</v>
      </c>
      <c r="B79">
        <f t="shared" si="17"/>
        <v>155</v>
      </c>
      <c r="C79">
        <f t="shared" si="11"/>
        <v>156</v>
      </c>
      <c r="D79" t="str">
        <f t="shared" si="12"/>
        <v>=A155</v>
      </c>
      <c r="E79" t="str">
        <f t="shared" si="13"/>
        <v>=A156</v>
      </c>
      <c r="F79" t="str">
        <f>A156</f>
        <v>Effects of Visual Sensory Range on the Emergence of Cognition in Early Terrestrial Vertebrates: An Agent-Based Modeling Approach;475</v>
      </c>
      <c r="G79" t="str">
        <f>A157</f>
        <v>Can Gurkan, Leif Rasmussen and Uri Wilensky</v>
      </c>
      <c r="H79">
        <f t="shared" si="14"/>
        <v>8</v>
      </c>
      <c r="I79" t="e">
        <f t="shared" si="15"/>
        <v>#VALUE!</v>
      </c>
      <c r="J79" t="str">
        <f t="shared" si="16"/>
        <v>of Visual Sensory Range on the Emergence of Cognition in Early Terrestrial Vertebrates: An Agent-Based Modeling Approach;475</v>
      </c>
      <c r="P79" t="str">
        <f t="shared" si="9"/>
        <v>Effects of Visual Sensory Range on the Emergence of Cognition in Early Terrestrial Vertebrates: An Agent-Based Modeling Approach</v>
      </c>
      <c r="Q79" t="str">
        <f t="shared" si="10"/>
        <v>475</v>
      </c>
    </row>
    <row r="80" spans="1:17" x14ac:dyDescent="0.35">
      <c r="A80" t="s">
        <v>2156</v>
      </c>
      <c r="B80">
        <f t="shared" si="17"/>
        <v>157</v>
      </c>
      <c r="C80">
        <f t="shared" si="11"/>
        <v>158</v>
      </c>
      <c r="D80" t="str">
        <f t="shared" si="12"/>
        <v>=A157</v>
      </c>
      <c r="E80" t="str">
        <f t="shared" si="13"/>
        <v>=A158</v>
      </c>
      <c r="F80" t="str">
        <f>A158</f>
        <v>When is an action caused from within? Quantifying the causal chain leading to actions in simulated agents;477</v>
      </c>
      <c r="G80" t="str">
        <f>A159</f>
        <v>Bjørn Erik Juel, Renzo Comolatti, Giulio Tononi and Larissa Albantakis</v>
      </c>
      <c r="H80">
        <f t="shared" si="14"/>
        <v>5</v>
      </c>
      <c r="I80" t="e">
        <f t="shared" si="15"/>
        <v>#VALUE!</v>
      </c>
      <c r="J80" t="str">
        <f t="shared" si="16"/>
        <v>is an action caused from within? Quantifying the causal chain leading to actions in simulated agents;477</v>
      </c>
      <c r="P80" t="str">
        <f t="shared" si="9"/>
        <v>When is an action caused from within? Quantifying the causal chain leading to actions in simulated agents</v>
      </c>
      <c r="Q80" t="str">
        <f t="shared" si="10"/>
        <v>477</v>
      </c>
    </row>
    <row r="81" spans="1:17" x14ac:dyDescent="0.35">
      <c r="A81" t="s">
        <v>1943</v>
      </c>
      <c r="B81">
        <f t="shared" si="17"/>
        <v>159</v>
      </c>
      <c r="C81">
        <f t="shared" si="11"/>
        <v>160</v>
      </c>
      <c r="D81" t="str">
        <f t="shared" si="12"/>
        <v>=A159</v>
      </c>
      <c r="E81" t="str">
        <f t="shared" si="13"/>
        <v>=A160</v>
      </c>
      <c r="F81" t="str">
        <f>A160</f>
        <v>Measuring properties of movement in populations of evolved 3D agents;485</v>
      </c>
      <c r="G81" t="str">
        <f>A161</f>
        <v>Maciej Komosinski and Konrad Miazga</v>
      </c>
      <c r="H81">
        <f t="shared" si="14"/>
        <v>10</v>
      </c>
      <c r="I81" t="e">
        <f t="shared" si="15"/>
        <v>#VALUE!</v>
      </c>
      <c r="J81" t="str">
        <f t="shared" si="16"/>
        <v>properties of movement in populations of evolved 3D agents;485</v>
      </c>
      <c r="P81" t="str">
        <f t="shared" si="9"/>
        <v>Measuring properties of movement in populations of evolved 3D agents</v>
      </c>
      <c r="Q81" t="str">
        <f t="shared" si="10"/>
        <v>485</v>
      </c>
    </row>
    <row r="82" spans="1:17" x14ac:dyDescent="0.35">
      <c r="A82" t="s">
        <v>2157</v>
      </c>
      <c r="B82">
        <f t="shared" si="17"/>
        <v>161</v>
      </c>
      <c r="C82">
        <f t="shared" si="11"/>
        <v>162</v>
      </c>
      <c r="D82" t="str">
        <f t="shared" si="12"/>
        <v>=A161</v>
      </c>
      <c r="E82" t="str">
        <f t="shared" si="13"/>
        <v>=A162</v>
      </c>
      <c r="F82" t="str">
        <f>A162</f>
        <v>Edge of Chaos: Artificial Life based interactive art installation;493</v>
      </c>
      <c r="G82" t="str">
        <f>A163</f>
        <v>Vasilija Abramovic and Ruairi Glynn</v>
      </c>
      <c r="H82">
        <f t="shared" si="14"/>
        <v>5</v>
      </c>
      <c r="I82" t="e">
        <f t="shared" si="15"/>
        <v>#VALUE!</v>
      </c>
      <c r="J82" t="str">
        <f t="shared" si="16"/>
        <v>of Chaos: Artificial Life based interactive art installation;493</v>
      </c>
      <c r="P82" t="str">
        <f t="shared" si="9"/>
        <v>Edge of Chaos: Artificial Life based interactive art installation</v>
      </c>
      <c r="Q82" t="str">
        <f t="shared" si="10"/>
        <v>493</v>
      </c>
    </row>
    <row r="83" spans="1:17" x14ac:dyDescent="0.35">
      <c r="A83" t="s">
        <v>1945</v>
      </c>
      <c r="B83">
        <f t="shared" si="17"/>
        <v>163</v>
      </c>
      <c r="C83">
        <f t="shared" si="11"/>
        <v>164</v>
      </c>
      <c r="D83" t="str">
        <f t="shared" si="12"/>
        <v>=A163</v>
      </c>
      <c r="E83" t="str">
        <f t="shared" si="13"/>
        <v>=A164</v>
      </c>
      <c r="F83" t="str">
        <f>A164</f>
        <v>Autopoiesis in digital learning design: Theoretical implications in education;495</v>
      </c>
      <c r="G83" t="str">
        <f>A165</f>
        <v>Claudio Aguayo</v>
      </c>
      <c r="H83">
        <f t="shared" si="14"/>
        <v>12</v>
      </c>
      <c r="I83" t="e">
        <f t="shared" si="15"/>
        <v>#VALUE!</v>
      </c>
      <c r="J83" t="str">
        <f t="shared" si="16"/>
        <v>in digital learning design: Theoretical implications in education;495</v>
      </c>
      <c r="P83" t="str">
        <f t="shared" si="9"/>
        <v>Autopoiesis in digital learning design: Theoretical implications in education</v>
      </c>
      <c r="Q83" t="str">
        <f t="shared" si="10"/>
        <v>495</v>
      </c>
    </row>
    <row r="84" spans="1:17" x14ac:dyDescent="0.35">
      <c r="A84" t="s">
        <v>2158</v>
      </c>
      <c r="B84">
        <f t="shared" si="17"/>
        <v>165</v>
      </c>
      <c r="C84">
        <f t="shared" si="11"/>
        <v>166</v>
      </c>
      <c r="D84" t="str">
        <f t="shared" si="12"/>
        <v>=A165</v>
      </c>
      <c r="E84" t="str">
        <f t="shared" si="13"/>
        <v>=A166</v>
      </c>
      <c r="F84" t="str">
        <f>A166</f>
        <v>How to reduce a genome? ALife as a tool to teach the scientific method to school pupils;497</v>
      </c>
      <c r="G84" t="str">
        <f>A167</f>
        <v>Quentin Carde, Marco Foley, Carole Knibbe, David P. Parsons, Jonathan Rouzaud-Cornabas and Guillaume Beslon</v>
      </c>
      <c r="H84">
        <f t="shared" si="14"/>
        <v>4</v>
      </c>
      <c r="I84" t="e">
        <f t="shared" si="15"/>
        <v>#VALUE!</v>
      </c>
      <c r="J84" t="str">
        <f t="shared" si="16"/>
        <v>to reduce a genome? ALife as a tool to teach the scientific method to school pupils;497</v>
      </c>
      <c r="P84" t="str">
        <f t="shared" si="9"/>
        <v>How to reduce a genome? ALife as a tool to teach the scientific method to school pupils</v>
      </c>
      <c r="Q84" t="str">
        <f t="shared" si="10"/>
        <v>497</v>
      </c>
    </row>
    <row r="85" spans="1:17" x14ac:dyDescent="0.35">
      <c r="A85" t="s">
        <v>1947</v>
      </c>
      <c r="B85">
        <f t="shared" si="17"/>
        <v>167</v>
      </c>
      <c r="C85">
        <f t="shared" si="11"/>
        <v>168</v>
      </c>
      <c r="D85" t="str">
        <f t="shared" si="12"/>
        <v>=A167</v>
      </c>
      <c r="E85" t="str">
        <f t="shared" si="13"/>
        <v>=A168</v>
      </c>
      <c r="F85" t="str">
        <f>A168</f>
        <v>Gathering of the Hive: Investigating the clustering behaviour of honeybees through art and swarm robotics;505</v>
      </c>
      <c r="G85" t="str">
        <f>A169</f>
        <v>Haakon Haraldsen Roen, Vako Vartkes Varankian, Stefano Nichele and Kristin Bergaust</v>
      </c>
      <c r="H85">
        <f t="shared" si="14"/>
        <v>10</v>
      </c>
      <c r="I85" t="e">
        <f t="shared" si="15"/>
        <v>#VALUE!</v>
      </c>
      <c r="J85" t="str">
        <f t="shared" si="16"/>
        <v>of the Hive: Investigating the clustering behaviour of honeybees through art and swarm robotics;505</v>
      </c>
      <c r="P85" t="str">
        <f t="shared" si="9"/>
        <v>Gathering of the Hive: Investigating the clustering behaviour of honeybees through art and swarm robotics</v>
      </c>
      <c r="Q85" t="str">
        <f t="shared" si="10"/>
        <v>505</v>
      </c>
    </row>
    <row r="86" spans="1:17" x14ac:dyDescent="0.35">
      <c r="A86" t="s">
        <v>2159</v>
      </c>
      <c r="B86">
        <f t="shared" si="17"/>
        <v>169</v>
      </c>
      <c r="C86">
        <f t="shared" si="11"/>
        <v>170</v>
      </c>
      <c r="D86" t="str">
        <f t="shared" si="12"/>
        <v>=A169</v>
      </c>
      <c r="E86" t="str">
        <f t="shared" si="13"/>
        <v>=A170</v>
      </c>
      <c r="F86" t="str">
        <f>A170</f>
        <v>Data Standards for Artificial Life Software;507</v>
      </c>
      <c r="G86" t="str">
        <f>A171</f>
        <v>Alexander Lalejini, Emily Dolson, Clifford Bohm, Austin J. Ferguson, David P. Parsons, Penelope Faulkner Rainford, Paul Richmond and Charles Ofria</v>
      </c>
      <c r="H86">
        <f t="shared" si="14"/>
        <v>5</v>
      </c>
      <c r="I86" t="e">
        <f t="shared" si="15"/>
        <v>#VALUE!</v>
      </c>
      <c r="J86" t="str">
        <f t="shared" si="16"/>
        <v>Standards for Artificial Life Software;507</v>
      </c>
      <c r="P86" t="str">
        <f t="shared" ref="P86:P111" si="18">LEFT(F86,LEN(F86)-4)</f>
        <v>Data Standards for Artificial Life Software</v>
      </c>
      <c r="Q86" t="str">
        <f t="shared" ref="Q86:Q111" si="19">RIGHT(F86,3)</f>
        <v>507</v>
      </c>
    </row>
    <row r="87" spans="1:17" x14ac:dyDescent="0.35">
      <c r="A87" t="s">
        <v>1949</v>
      </c>
      <c r="B87">
        <f t="shared" si="17"/>
        <v>171</v>
      </c>
      <c r="C87">
        <f t="shared" si="11"/>
        <v>172</v>
      </c>
      <c r="D87" t="str">
        <f t="shared" si="12"/>
        <v>=A171</v>
      </c>
      <c r="E87" t="str">
        <f t="shared" si="13"/>
        <v>=A172</v>
      </c>
      <c r="F87" t="str">
        <f>A172</f>
        <v>Organic Selection and Social Heredity: The Original Baldwin Effect Revisited;515</v>
      </c>
      <c r="G87" t="str">
        <f>A173</f>
        <v>Nam Le</v>
      </c>
      <c r="H87">
        <f t="shared" si="14"/>
        <v>8</v>
      </c>
      <c r="I87" t="e">
        <f t="shared" si="15"/>
        <v>#VALUE!</v>
      </c>
      <c r="J87" t="str">
        <f t="shared" si="16"/>
        <v>Selection and Social Heredity: The Original Baldwin Effect Revisited;515</v>
      </c>
      <c r="P87" t="str">
        <f t="shared" si="18"/>
        <v>Organic Selection and Social Heredity: The Original Baldwin Effect Revisited</v>
      </c>
      <c r="Q87" t="str">
        <f t="shared" si="19"/>
        <v>515</v>
      </c>
    </row>
    <row r="88" spans="1:17" x14ac:dyDescent="0.35">
      <c r="A88" t="s">
        <v>2160</v>
      </c>
      <c r="B88">
        <f t="shared" si="17"/>
        <v>173</v>
      </c>
      <c r="C88">
        <f t="shared" si="11"/>
        <v>174</v>
      </c>
      <c r="D88" t="str">
        <f t="shared" si="12"/>
        <v>=A173</v>
      </c>
      <c r="E88" t="str">
        <f t="shared" si="13"/>
        <v>=A174</v>
      </c>
      <c r="F88" t="str">
        <f>A174</f>
        <v>Morphogenetic Vase Forms;523</v>
      </c>
      <c r="G88" t="str">
        <f>A175</f>
        <v>Andy Lomas</v>
      </c>
      <c r="H88">
        <f t="shared" si="14"/>
        <v>14</v>
      </c>
      <c r="I88" t="e">
        <f t="shared" si="15"/>
        <v>#VALUE!</v>
      </c>
      <c r="J88" t="str">
        <f t="shared" si="16"/>
        <v>Vase Forms;523</v>
      </c>
      <c r="P88" t="str">
        <f t="shared" si="18"/>
        <v>Morphogenetic Vase Forms</v>
      </c>
      <c r="Q88" t="str">
        <f t="shared" si="19"/>
        <v>523</v>
      </c>
    </row>
    <row r="89" spans="1:17" x14ac:dyDescent="0.35">
      <c r="A89" t="s">
        <v>1951</v>
      </c>
      <c r="B89">
        <f t="shared" si="17"/>
        <v>175</v>
      </c>
      <c r="C89">
        <f t="shared" si="11"/>
        <v>176</v>
      </c>
      <c r="D89" t="str">
        <f t="shared" si="12"/>
        <v>=A175</v>
      </c>
      <c r="E89" t="str">
        <f t="shared" si="13"/>
        <v>=A176</v>
      </c>
      <c r="F89" t="str">
        <f>A176</f>
        <v>Spatial Representation of Self and Other by Superposition Neural Network Model;531</v>
      </c>
      <c r="G89" t="str">
        <f>A177</f>
        <v>Wataru Noguchi, Hiroyuki Iizuka, Shigeru Taguchi and Masahito Yamamoto</v>
      </c>
      <c r="H89">
        <f t="shared" si="14"/>
        <v>8</v>
      </c>
      <c r="I89" t="e">
        <f t="shared" si="15"/>
        <v>#VALUE!</v>
      </c>
      <c r="J89" t="str">
        <f t="shared" si="16"/>
        <v>Representation of Self and Other by Superposition Neural Network Model;531</v>
      </c>
      <c r="P89" t="str">
        <f t="shared" si="18"/>
        <v>Spatial Representation of Self and Other by Superposition Neural Network Model</v>
      </c>
      <c r="Q89" t="str">
        <f t="shared" si="19"/>
        <v>531</v>
      </c>
    </row>
    <row r="90" spans="1:17" x14ac:dyDescent="0.35">
      <c r="A90" t="s">
        <v>2161</v>
      </c>
      <c r="B90">
        <f t="shared" si="17"/>
        <v>177</v>
      </c>
      <c r="C90">
        <f t="shared" si="11"/>
        <v>178</v>
      </c>
      <c r="D90" t="str">
        <f t="shared" si="12"/>
        <v>=A177</v>
      </c>
      <c r="E90" t="str">
        <f t="shared" si="13"/>
        <v>=A178</v>
      </c>
      <c r="F90" t="str">
        <f>A178</f>
        <v>Artificial Ant Colonies for Adaptive Rewards in Serious Games;533</v>
      </c>
      <c r="G90" t="str">
        <f>A179</f>
        <v>Yann Semet, Bruno Marcon, Konstantinos Demestichas, Nikos Koutsouris and Antonio Ascolese</v>
      </c>
      <c r="H90">
        <f t="shared" si="14"/>
        <v>11</v>
      </c>
      <c r="I90" t="e">
        <f t="shared" si="15"/>
        <v>#VALUE!</v>
      </c>
      <c r="J90" t="str">
        <f t="shared" si="16"/>
        <v>Ant Colonies for Adaptive Rewards in Serious Games;533</v>
      </c>
      <c r="P90" t="str">
        <f t="shared" si="18"/>
        <v>Artificial Ant Colonies for Adaptive Rewards in Serious Games</v>
      </c>
      <c r="Q90" t="str">
        <f t="shared" si="19"/>
        <v>533</v>
      </c>
    </row>
    <row r="91" spans="1:17" x14ac:dyDescent="0.35">
      <c r="A91" t="s">
        <v>1953</v>
      </c>
      <c r="B91">
        <f t="shared" si="17"/>
        <v>179</v>
      </c>
      <c r="C91">
        <f t="shared" si="11"/>
        <v>180</v>
      </c>
      <c r="D91" t="str">
        <f t="shared" si="12"/>
        <v>=A179</v>
      </c>
      <c r="E91" t="str">
        <f t="shared" si="13"/>
        <v>=A180</v>
      </c>
      <c r="F91" t="str">
        <f>A180</f>
        <v>The Effects of Individual and Social Learning on the Evolution of Cognitive and Communicative Aspects of Language Abilities;541</v>
      </c>
      <c r="G91" t="str">
        <f>A181</f>
        <v>Hiroto Yonenoh, Reiji Suzuki and Takaya Arita</v>
      </c>
      <c r="H91">
        <f t="shared" si="14"/>
        <v>4</v>
      </c>
      <c r="I91" t="e">
        <f t="shared" si="15"/>
        <v>#VALUE!</v>
      </c>
      <c r="J91" t="str">
        <f t="shared" si="16"/>
        <v>Effects of Individual and Social Learning on the Evolution of Cognitive and Communicative Aspects of Language Abilities;541</v>
      </c>
      <c r="P91" t="str">
        <f t="shared" si="18"/>
        <v>The Effects of Individual and Social Learning on the Evolution of Cognitive and Communicative Aspects of Language Abilities</v>
      </c>
      <c r="Q91" t="str">
        <f t="shared" si="19"/>
        <v>541</v>
      </c>
    </row>
    <row r="92" spans="1:17" x14ac:dyDescent="0.35">
      <c r="A92" t="s">
        <v>2162</v>
      </c>
      <c r="B92">
        <f t="shared" si="17"/>
        <v>181</v>
      </c>
      <c r="C92">
        <f t="shared" si="11"/>
        <v>182</v>
      </c>
      <c r="D92" t="str">
        <f t="shared" si="12"/>
        <v>=A181</v>
      </c>
      <c r="E92" t="str">
        <f t="shared" si="13"/>
        <v>=A182</v>
      </c>
      <c r="F92" t="str">
        <f>A182</f>
        <v>Neuroevolution of Humanoids that Walk Further and Faster with Robust Gaits;543</v>
      </c>
      <c r="G92" t="str">
        <f>A183</f>
        <v>Ben Jackson and Alastair Channon</v>
      </c>
      <c r="H92">
        <f t="shared" si="14"/>
        <v>15</v>
      </c>
      <c r="I92" t="e">
        <f t="shared" si="15"/>
        <v>#VALUE!</v>
      </c>
      <c r="J92" t="str">
        <f t="shared" si="16"/>
        <v>of Humanoids that Walk Further and Faster with Robust Gaits;543</v>
      </c>
      <c r="P92" t="str">
        <f t="shared" si="18"/>
        <v>Neuroevolution of Humanoids that Walk Further and Faster with Robust Gaits</v>
      </c>
      <c r="Q92" t="str">
        <f t="shared" si="19"/>
        <v>543</v>
      </c>
    </row>
    <row r="93" spans="1:17" x14ac:dyDescent="0.35">
      <c r="A93" t="s">
        <v>1955</v>
      </c>
      <c r="B93">
        <f t="shared" si="17"/>
        <v>183</v>
      </c>
      <c r="C93">
        <f t="shared" si="11"/>
        <v>184</v>
      </c>
      <c r="D93" t="str">
        <f t="shared" si="12"/>
        <v>=A183</v>
      </c>
      <c r="E93" t="str">
        <f t="shared" si="13"/>
        <v>=A184</v>
      </c>
      <c r="F93" t="str">
        <f>A184</f>
        <v>The Limits of Lexicase Selection in an Evolutionary Robotics Task;551</v>
      </c>
      <c r="G93" t="str">
        <f>A185</f>
        <v>Jared Moore and Adam Stanton</v>
      </c>
      <c r="H93">
        <f t="shared" si="14"/>
        <v>4</v>
      </c>
      <c r="I93" t="e">
        <f t="shared" si="15"/>
        <v>#VALUE!</v>
      </c>
      <c r="J93" t="str">
        <f t="shared" si="16"/>
        <v>Limits of Lexicase Selection in an Evolutionary Robotics Task;551</v>
      </c>
      <c r="P93" t="str">
        <f t="shared" si="18"/>
        <v>The Limits of Lexicase Selection in an Evolutionary Robotics Task</v>
      </c>
      <c r="Q93" t="str">
        <f t="shared" si="19"/>
        <v>551</v>
      </c>
    </row>
    <row r="94" spans="1:17" x14ac:dyDescent="0.35">
      <c r="A94" t="s">
        <v>2163</v>
      </c>
      <c r="B94">
        <f t="shared" si="17"/>
        <v>185</v>
      </c>
      <c r="C94">
        <f t="shared" si="11"/>
        <v>186</v>
      </c>
      <c r="D94" t="str">
        <f t="shared" si="12"/>
        <v>=A185</v>
      </c>
      <c r="E94" t="str">
        <f t="shared" si="13"/>
        <v>=A186</v>
      </c>
      <c r="F94" t="str">
        <f>A186</f>
        <v>Improve Quadrupedal Locomotion with Actuated or Passive Joints?;559</v>
      </c>
      <c r="G94" t="str">
        <f>A187</f>
        <v>Jared Moore and Anthony Clark</v>
      </c>
      <c r="H94">
        <f t="shared" si="14"/>
        <v>8</v>
      </c>
      <c r="I94" t="e">
        <f t="shared" si="15"/>
        <v>#VALUE!</v>
      </c>
      <c r="J94" t="str">
        <f t="shared" si="16"/>
        <v>Quadrupedal Locomotion with Actuated or Passive Joints?;559</v>
      </c>
      <c r="P94" t="str">
        <f t="shared" si="18"/>
        <v>Improve Quadrupedal Locomotion with Actuated or Passive Joints?</v>
      </c>
      <c r="Q94" t="str">
        <f t="shared" si="19"/>
        <v>559</v>
      </c>
    </row>
    <row r="95" spans="1:17" x14ac:dyDescent="0.35">
      <c r="A95" t="s">
        <v>634</v>
      </c>
      <c r="B95">
        <f t="shared" si="17"/>
        <v>187</v>
      </c>
      <c r="C95">
        <f t="shared" si="11"/>
        <v>188</v>
      </c>
      <c r="D95" t="str">
        <f t="shared" si="12"/>
        <v>=A187</v>
      </c>
      <c r="E95" t="str">
        <f t="shared" si="13"/>
        <v>=A188</v>
      </c>
      <c r="F95" t="str">
        <f>A188</f>
        <v>Ego-Noise Predictions for Echolocation in Wheeled Robots;567</v>
      </c>
      <c r="G95" t="str">
        <f>A189</f>
        <v>Antonio Pico Villalpando, Guido Schillaci, Verena Hafner and Bruno Lara</v>
      </c>
      <c r="H95">
        <f t="shared" si="14"/>
        <v>10</v>
      </c>
      <c r="I95" t="e">
        <f t="shared" si="15"/>
        <v>#VALUE!</v>
      </c>
      <c r="J95" t="str">
        <f t="shared" si="16"/>
        <v>Predictions for Echolocation in Wheeled Robots;567</v>
      </c>
      <c r="P95" t="str">
        <f t="shared" si="18"/>
        <v>Ego-Noise Predictions for Echolocation in Wheeled Robots</v>
      </c>
      <c r="Q95" t="str">
        <f t="shared" si="19"/>
        <v>567</v>
      </c>
    </row>
    <row r="96" spans="1:17" x14ac:dyDescent="0.35">
      <c r="A96" t="s">
        <v>2164</v>
      </c>
      <c r="B96">
        <f t="shared" si="17"/>
        <v>189</v>
      </c>
      <c r="C96">
        <f t="shared" si="11"/>
        <v>190</v>
      </c>
      <c r="D96" t="str">
        <f t="shared" si="12"/>
        <v>=A189</v>
      </c>
      <c r="E96" t="str">
        <f t="shared" si="13"/>
        <v>=A190</v>
      </c>
      <c r="F96" t="str">
        <f>A190</f>
        <v>Evolutionary Synthesis of Sensing Controllers for Voxel-based Soft Robots;574</v>
      </c>
      <c r="G96" t="str">
        <f>A191</f>
        <v>Jacopo Talamini, Eric Medvet, Alberto Bartoli and Andrea De Lorenzo</v>
      </c>
      <c r="H96">
        <f t="shared" si="14"/>
        <v>13</v>
      </c>
      <c r="I96" t="e">
        <f t="shared" si="15"/>
        <v>#VALUE!</v>
      </c>
      <c r="J96" t="str">
        <f t="shared" si="16"/>
        <v>Synthesis of Sensing Controllers for Voxel-based Soft Robots;574</v>
      </c>
      <c r="P96" t="str">
        <f t="shared" si="18"/>
        <v>Evolutionary Synthesis of Sensing Controllers for Voxel-based Soft Robots</v>
      </c>
      <c r="Q96" t="str">
        <f t="shared" si="19"/>
        <v>574</v>
      </c>
    </row>
    <row r="97" spans="1:17" x14ac:dyDescent="0.35">
      <c r="A97" t="s">
        <v>1958</v>
      </c>
      <c r="B97">
        <f t="shared" si="17"/>
        <v>191</v>
      </c>
      <c r="C97">
        <f t="shared" si="11"/>
        <v>192</v>
      </c>
      <c r="D97" t="str">
        <f t="shared" si="12"/>
        <v>=A191</v>
      </c>
      <c r="E97" t="str">
        <f t="shared" si="13"/>
        <v>=A192</v>
      </c>
      <c r="F97" t="str">
        <f>A192</f>
        <v>Different Forms of Random Motor Activity Scaffold the Formation of Different Habits in a Simulated Robot;582</v>
      </c>
      <c r="G97" t="str">
        <f>A193</f>
        <v>Mario Zarco and Matthew Egbert</v>
      </c>
      <c r="H97">
        <f t="shared" si="14"/>
        <v>10</v>
      </c>
      <c r="I97" t="e">
        <f t="shared" si="15"/>
        <v>#VALUE!</v>
      </c>
      <c r="J97" t="str">
        <f t="shared" si="16"/>
        <v>Forms of Random Motor Activity Scaffold the Formation of Different Habits in a Simulated Robot;582</v>
      </c>
      <c r="P97" t="str">
        <f t="shared" si="18"/>
        <v>Different Forms of Random Motor Activity Scaffold the Formation of Different Habits in a Simulated Robot</v>
      </c>
      <c r="Q97" t="str">
        <f t="shared" si="19"/>
        <v>582</v>
      </c>
    </row>
    <row r="98" spans="1:17" x14ac:dyDescent="0.35">
      <c r="A98" t="s">
        <v>1959</v>
      </c>
      <c r="B98">
        <f t="shared" si="17"/>
        <v>193</v>
      </c>
      <c r="C98">
        <f t="shared" si="11"/>
        <v>194</v>
      </c>
      <c r="D98" t="str">
        <f t="shared" si="12"/>
        <v>=A193</v>
      </c>
      <c r="E98" t="str">
        <f t="shared" si="13"/>
        <v>=A194</v>
      </c>
      <c r="F98" t="str">
        <f>A194</f>
        <v>Guiding aggregation dynamics in a swarm of agents via informed individuals: an analytical study;590</v>
      </c>
      <c r="G98" t="str">
        <f>A195</f>
        <v>Yannick Gillet, Eliseo Ferrante, Ziya Firat and Elio Tuci</v>
      </c>
      <c r="H98">
        <f t="shared" si="14"/>
        <v>8</v>
      </c>
      <c r="I98" t="e">
        <f t="shared" si="15"/>
        <v>#VALUE!</v>
      </c>
      <c r="J98" t="str">
        <f t="shared" si="16"/>
        <v>aggregation dynamics in a swarm of agents via informed individuals: an analytical study;590</v>
      </c>
      <c r="P98" t="str">
        <f t="shared" si="18"/>
        <v>Guiding aggregation dynamics in a swarm of agents via informed individuals: an analytical study</v>
      </c>
      <c r="Q98" t="str">
        <f t="shared" si="19"/>
        <v>590</v>
      </c>
    </row>
    <row r="99" spans="1:17" x14ac:dyDescent="0.35">
      <c r="A99" t="s">
        <v>1960</v>
      </c>
      <c r="B99">
        <f t="shared" si="17"/>
        <v>195</v>
      </c>
      <c r="C99">
        <f t="shared" si="11"/>
        <v>196</v>
      </c>
      <c r="D99" t="str">
        <f t="shared" si="12"/>
        <v>=A195</v>
      </c>
      <c r="E99" t="str">
        <f t="shared" si="13"/>
        <v>=A196</v>
      </c>
      <c r="F99" t="str">
        <f>A196</f>
        <v>Emergent Escape-based Flocking Behavior using Multi-Agent Reinforcement Learning;598</v>
      </c>
      <c r="G99" t="str">
        <f>A197</f>
        <v>Carsten Hahn, Thomy Phan, Thomas Gabor, Lenz Belzner and Claudia Linnhoff-Popien</v>
      </c>
      <c r="H99">
        <f t="shared" si="14"/>
        <v>9</v>
      </c>
      <c r="I99" t="e">
        <f t="shared" si="15"/>
        <v>#VALUE!</v>
      </c>
      <c r="J99" t="str">
        <f t="shared" si="16"/>
        <v>Escape-based Flocking Behavior using Multi-Agent Reinforcement Learning;598</v>
      </c>
      <c r="P99" t="str">
        <f t="shared" si="18"/>
        <v>Emergent Escape-based Flocking Behavior using Multi-Agent Reinforcement Learning</v>
      </c>
      <c r="Q99" t="str">
        <f t="shared" si="19"/>
        <v>598</v>
      </c>
    </row>
    <row r="100" spans="1:17" x14ac:dyDescent="0.35">
      <c r="A100" t="s">
        <v>2165</v>
      </c>
      <c r="B100">
        <f t="shared" si="17"/>
        <v>197</v>
      </c>
      <c r="C100">
        <f t="shared" si="11"/>
        <v>198</v>
      </c>
      <c r="D100" t="str">
        <f t="shared" si="12"/>
        <v>=A197</v>
      </c>
      <c r="E100" t="str">
        <f t="shared" si="13"/>
        <v>=A198</v>
      </c>
      <c r="F100" t="str">
        <f>A198</f>
        <v>Engineering Application of Non-Reciprocal-Interaction-Based (NRIB) Model: Swarm Robotic System That Can Perform Spatially Distributed Tasks in Parallel;606</v>
      </c>
      <c r="G100" t="str">
        <f>A199</f>
        <v>Takeshi Kano, Eiichi Naito, Takenobu Aoshima and Akio Ishiguro</v>
      </c>
      <c r="H100">
        <f t="shared" si="14"/>
        <v>12</v>
      </c>
      <c r="I100" t="e">
        <f t="shared" si="15"/>
        <v>#VALUE!</v>
      </c>
      <c r="J100" t="str">
        <f t="shared" si="16"/>
        <v>Application of Non-Reciprocal-Interaction-Based (NRIB) Model: Swarm Robotic System That Can Perform Spatially Distributed Tasks in Parallel;606</v>
      </c>
      <c r="P100" t="str">
        <f t="shared" si="18"/>
        <v>Engineering Application of Non-Reciprocal-Interaction-Based (NRIB) Model: Swarm Robotic System That Can Perform Spatially Distributed Tasks in Parallel</v>
      </c>
      <c r="Q100" t="str">
        <f t="shared" si="19"/>
        <v>606</v>
      </c>
    </row>
    <row r="101" spans="1:17" x14ac:dyDescent="0.35">
      <c r="A101" t="s">
        <v>1088</v>
      </c>
      <c r="B101">
        <f t="shared" si="17"/>
        <v>199</v>
      </c>
      <c r="C101">
        <f t="shared" si="11"/>
        <v>200</v>
      </c>
      <c r="D101" t="str">
        <f t="shared" si="12"/>
        <v>=A199</v>
      </c>
      <c r="E101" t="str">
        <f t="shared" si="13"/>
        <v>=A200</v>
      </c>
      <c r="F101" t="str">
        <f>A200</f>
        <v>Extended Artificial Pheromone System for Swarm Robotic Applications;608</v>
      </c>
      <c r="G101" t="str">
        <f>A201</f>
        <v>Seongin Na, Mohsen Raoufi, Ali Emre Turgut, Tomas Krajnik and Farshad Arvin</v>
      </c>
      <c r="H101">
        <f t="shared" si="14"/>
        <v>9</v>
      </c>
      <c r="I101" t="e">
        <f t="shared" si="15"/>
        <v>#VALUE!</v>
      </c>
      <c r="J101" t="str">
        <f t="shared" si="16"/>
        <v>Artificial Pheromone System for Swarm Robotic Applications;608</v>
      </c>
      <c r="P101" t="str">
        <f t="shared" si="18"/>
        <v>Extended Artificial Pheromone System for Swarm Robotic Applications</v>
      </c>
      <c r="Q101" t="str">
        <f t="shared" si="19"/>
        <v>608</v>
      </c>
    </row>
    <row r="102" spans="1:17" x14ac:dyDescent="0.35">
      <c r="A102" t="s">
        <v>2166</v>
      </c>
      <c r="B102">
        <f t="shared" si="17"/>
        <v>201</v>
      </c>
      <c r="C102">
        <f t="shared" si="11"/>
        <v>202</v>
      </c>
      <c r="D102" t="str">
        <f t="shared" si="12"/>
        <v>=A201</v>
      </c>
      <c r="E102" t="str">
        <f t="shared" si="13"/>
        <v>=A202</v>
      </c>
      <c r="F102" t="str">
        <f>A202</f>
        <v>Applying Social Network Analysis to Agent-Based Models: A Case Study of Task Allocation in Swarm Robotics Inspired by Ant Foraging Behavior;616</v>
      </c>
      <c r="G102" t="str">
        <f>A203</f>
        <v>Georgina Montserrat Res´endiz-Benhumea, Tom Froese, Gabriel Ramos-Fern´andez and Sandra E. Smith-Aguilar</v>
      </c>
      <c r="H102">
        <f t="shared" si="14"/>
        <v>9</v>
      </c>
      <c r="I102" t="e">
        <f t="shared" si="15"/>
        <v>#VALUE!</v>
      </c>
      <c r="J102" t="str">
        <f t="shared" si="16"/>
        <v>Social Network Analysis to Agent-Based Models: A Case Study of Task Allocation in Swarm Robotics Inspired by Ant Foraging Behavior;616</v>
      </c>
      <c r="P102" t="str">
        <f t="shared" si="18"/>
        <v>Applying Social Network Analysis to Agent-Based Models: A Case Study of Task Allocation in Swarm Robotics Inspired by Ant Foraging Behavior</v>
      </c>
      <c r="Q102" t="str">
        <f t="shared" si="19"/>
        <v>616</v>
      </c>
    </row>
    <row r="103" spans="1:17" x14ac:dyDescent="0.35">
      <c r="A103" t="s">
        <v>1326</v>
      </c>
      <c r="B103">
        <f t="shared" si="17"/>
        <v>203</v>
      </c>
      <c r="C103">
        <f t="shared" si="11"/>
        <v>204</v>
      </c>
      <c r="D103" t="str">
        <f t="shared" si="12"/>
        <v>=A203</v>
      </c>
      <c r="E103" t="str">
        <f t="shared" si="13"/>
        <v>=A204</v>
      </c>
      <c r="F103" t="str">
        <f>A204</f>
        <v>On information-optimal scripting of actions;624</v>
      </c>
      <c r="G103" t="str">
        <f>A205</f>
        <v>Bente Riegler and Daniel Polani</v>
      </c>
      <c r="H103">
        <f t="shared" si="14"/>
        <v>3</v>
      </c>
      <c r="I103" t="e">
        <f t="shared" si="15"/>
        <v>#VALUE!</v>
      </c>
      <c r="J103" t="str">
        <f t="shared" si="16"/>
        <v>information-optimal scripting of actions;624</v>
      </c>
      <c r="P103" t="str">
        <f t="shared" si="18"/>
        <v>On information-optimal scripting of actions</v>
      </c>
      <c r="Q103" t="str">
        <f t="shared" si="19"/>
        <v>624</v>
      </c>
    </row>
    <row r="104" spans="1:17" x14ac:dyDescent="0.35">
      <c r="A104" t="s">
        <v>2167</v>
      </c>
      <c r="B104">
        <f t="shared" si="17"/>
        <v>205</v>
      </c>
      <c r="C104">
        <f t="shared" si="11"/>
        <v>206</v>
      </c>
      <c r="D104" t="str">
        <f t="shared" si="12"/>
        <v>=A205</v>
      </c>
      <c r="E104" t="str">
        <f t="shared" si="13"/>
        <v>=A206</v>
      </c>
      <c r="F104" t="str">
        <f>A206</f>
        <v>Modeling Fast and Robust Ant Nest Relocation using Particle Swarm Optimization;626</v>
      </c>
      <c r="G104" t="str">
        <f>A207</f>
        <v>Hideyasu Sasaki</v>
      </c>
      <c r="H104">
        <f t="shared" si="14"/>
        <v>9</v>
      </c>
      <c r="I104" t="e">
        <f t="shared" si="15"/>
        <v>#VALUE!</v>
      </c>
      <c r="J104" t="str">
        <f t="shared" si="16"/>
        <v>Fast and Robust Ant Nest Relocation using Particle Swarm Optimization;626</v>
      </c>
      <c r="P104" t="str">
        <f t="shared" si="18"/>
        <v>Modeling Fast and Robust Ant Nest Relocation using Particle Swarm Optimization</v>
      </c>
      <c r="Q104" t="str">
        <f t="shared" si="19"/>
        <v>626</v>
      </c>
    </row>
    <row r="105" spans="1:17" x14ac:dyDescent="0.35">
      <c r="A105" t="s">
        <v>1964</v>
      </c>
      <c r="B105">
        <f t="shared" si="17"/>
        <v>207</v>
      </c>
      <c r="C105">
        <f t="shared" si="11"/>
        <v>208</v>
      </c>
      <c r="D105" t="str">
        <f t="shared" si="12"/>
        <v>=A207</v>
      </c>
      <c r="E105" t="str">
        <f t="shared" si="13"/>
        <v>=A208</v>
      </c>
      <c r="F105" t="str">
        <f>A208</f>
        <v>Collective Event Detection Using Bio-inspired Minimalistic Communication in a Swarm of Underwater Robots;634</v>
      </c>
      <c r="G105" t="str">
        <f>A209</f>
        <v>Joshua Cherian Varughese, Hannes Hornischer, Ronald Thenius, Franz Wotawa and Thomas Schmickl</v>
      </c>
      <c r="H105">
        <f t="shared" si="14"/>
        <v>11</v>
      </c>
      <c r="I105" t="e">
        <f t="shared" si="15"/>
        <v>#VALUE!</v>
      </c>
      <c r="J105" t="str">
        <f t="shared" si="16"/>
        <v>Event Detection Using Bio-inspired Minimalistic Communication in a Swarm of Underwater Robots;634</v>
      </c>
      <c r="P105" t="str">
        <f t="shared" si="18"/>
        <v>Collective Event Detection Using Bio-inspired Minimalistic Communication in a Swarm of Underwater Robots</v>
      </c>
      <c r="Q105" t="str">
        <f t="shared" si="19"/>
        <v>634</v>
      </c>
    </row>
    <row r="106" spans="1:17" x14ac:dyDescent="0.35">
      <c r="A106" t="s">
        <v>2168</v>
      </c>
      <c r="B106">
        <f t="shared" si="17"/>
        <v>209</v>
      </c>
      <c r="C106">
        <f t="shared" si="11"/>
        <v>210</v>
      </c>
      <c r="D106" t="str">
        <f t="shared" si="12"/>
        <v>=A209</v>
      </c>
      <c r="E106" t="str">
        <f t="shared" si="13"/>
        <v>=A210</v>
      </c>
      <c r="F106" t="str">
        <f>A210</f>
        <v>Collective Change Detection: Adaptivity to Dynamic Swarm Densities and Light Conditions in Robot Swarms;642</v>
      </c>
      <c r="G106" t="str">
        <f>A211</f>
        <v>Mostafa Wahby, Julian Petzold, Catriona Eschke, Thomas Schmickl and Heiko Hamann</v>
      </c>
      <c r="H106">
        <f t="shared" si="14"/>
        <v>11</v>
      </c>
      <c r="I106" t="e">
        <f t="shared" si="15"/>
        <v>#VALUE!</v>
      </c>
      <c r="J106" t="str">
        <f t="shared" si="16"/>
        <v>Change Detection: Adaptivity to Dynamic Swarm Densities and Light Conditions in Robot Swarms;642</v>
      </c>
      <c r="P106" t="str">
        <f t="shared" si="18"/>
        <v>Collective Change Detection: Adaptivity to Dynamic Swarm Densities and Light Conditions in Robot Swarms</v>
      </c>
      <c r="Q106" t="str">
        <f t="shared" si="19"/>
        <v>642</v>
      </c>
    </row>
    <row r="107" spans="1:17" x14ac:dyDescent="0.35">
      <c r="A107" t="s">
        <v>1966</v>
      </c>
      <c r="B107">
        <f t="shared" si="17"/>
        <v>211</v>
      </c>
      <c r="C107">
        <f t="shared" si="11"/>
        <v>212</v>
      </c>
      <c r="D107" t="str">
        <f t="shared" si="12"/>
        <v>=A211</v>
      </c>
      <c r="E107" t="str">
        <f t="shared" si="13"/>
        <v>=A212</v>
      </c>
      <c r="F107" t="str">
        <f>A212</f>
        <v>Droplet based synthetic biology: chemotaxis and interface with biology;650</v>
      </c>
      <c r="G107" t="str">
        <f>A213</f>
        <v>Silvia Holler and Martin Michael Hanczyc</v>
      </c>
      <c r="H107">
        <f t="shared" si="14"/>
        <v>8</v>
      </c>
      <c r="I107" t="e">
        <f t="shared" si="15"/>
        <v>#VALUE!</v>
      </c>
      <c r="J107" t="str">
        <f t="shared" si="16"/>
        <v>based synthetic biology: chemotaxis and interface with biology;650</v>
      </c>
      <c r="P107" t="str">
        <f t="shared" si="18"/>
        <v>Droplet based synthetic biology: chemotaxis and interface with biology</v>
      </c>
      <c r="Q107" t="str">
        <f t="shared" si="19"/>
        <v>650</v>
      </c>
    </row>
    <row r="108" spans="1:17" x14ac:dyDescent="0.35">
      <c r="A108" t="s">
        <v>2169</v>
      </c>
      <c r="B108">
        <f t="shared" si="17"/>
        <v>213</v>
      </c>
      <c r="C108">
        <f t="shared" si="11"/>
        <v>214</v>
      </c>
      <c r="D108" t="str">
        <f t="shared" si="12"/>
        <v>=A213</v>
      </c>
      <c r="E108" t="str">
        <f t="shared" si="13"/>
        <v>=A214</v>
      </c>
      <c r="F108" t="str">
        <f>A214</f>
        <v>Autocatalysis in a Hierarchically Organized Inorganic Chemical Network;652</v>
      </c>
      <c r="G108" t="str">
        <f>A215</f>
        <v>Cole Mathis, Haralampos Miras and Leroy Cronin</v>
      </c>
      <c r="H108">
        <f t="shared" si="14"/>
        <v>14</v>
      </c>
      <c r="I108" t="e">
        <f t="shared" si="15"/>
        <v>#VALUE!</v>
      </c>
      <c r="J108" t="str">
        <f t="shared" si="16"/>
        <v>in a Hierarchically Organized Inorganic Chemical Network;652</v>
      </c>
      <c r="P108" t="str">
        <f t="shared" si="18"/>
        <v>Autocatalysis in a Hierarchically Organized Inorganic Chemical Network</v>
      </c>
      <c r="Q108" t="str">
        <f t="shared" si="19"/>
        <v>652</v>
      </c>
    </row>
    <row r="109" spans="1:17" x14ac:dyDescent="0.35">
      <c r="A109" t="s">
        <v>1968</v>
      </c>
      <c r="B109">
        <f t="shared" si="17"/>
        <v>215</v>
      </c>
      <c r="C109">
        <f t="shared" si="11"/>
        <v>216</v>
      </c>
      <c r="D109" t="str">
        <f t="shared" si="12"/>
        <v>=A215</v>
      </c>
      <c r="E109" t="str">
        <f t="shared" si="13"/>
        <v>=A216</v>
      </c>
      <c r="F109" t="str">
        <f>A216</f>
        <v>Synthetic Biology in the Brain: A Vision of Organic Robots;654</v>
      </c>
      <c r="G109" t="str">
        <f>A217</f>
        <v>Ithai Rabinowitch</v>
      </c>
      <c r="H109">
        <f t="shared" si="14"/>
        <v>10</v>
      </c>
      <c r="I109" t="e">
        <f t="shared" si="15"/>
        <v>#VALUE!</v>
      </c>
      <c r="J109" t="str">
        <f t="shared" si="16"/>
        <v>Biology in the Brain: A Vision of Organic Robots;654</v>
      </c>
      <c r="P109" t="str">
        <f t="shared" si="18"/>
        <v>Synthetic Biology in the Brain: A Vision of Organic Robots</v>
      </c>
      <c r="Q109" t="str">
        <f t="shared" si="19"/>
        <v>654</v>
      </c>
    </row>
    <row r="110" spans="1:17" x14ac:dyDescent="0.35">
      <c r="A110" t="s">
        <v>2170</v>
      </c>
      <c r="B110">
        <f t="shared" si="17"/>
        <v>217</v>
      </c>
      <c r="C110">
        <f t="shared" si="11"/>
        <v>218</v>
      </c>
      <c r="D110" t="str">
        <f t="shared" si="12"/>
        <v>=A217</v>
      </c>
      <c r="E110" t="str">
        <f t="shared" si="13"/>
        <v>=A218</v>
      </c>
      <c r="F110" t="str">
        <f>A218</f>
        <v>Periodic collective behaviors of organic solvent droplets on the surface of aqueous surfactant solutions;656</v>
      </c>
      <c r="G110" t="str">
        <f>A219</f>
        <v>Shinpei Tanaka</v>
      </c>
      <c r="H110">
        <f t="shared" si="14"/>
        <v>9</v>
      </c>
      <c r="I110" t="e">
        <f t="shared" si="15"/>
        <v>#VALUE!</v>
      </c>
      <c r="J110" t="str">
        <f t="shared" si="16"/>
        <v>collective behaviors of organic solvent droplets on the surface of aqueous surfactant solutions;656</v>
      </c>
      <c r="P110" t="str">
        <f t="shared" si="18"/>
        <v>Periodic collective behaviors of organic solvent droplets on the surface of aqueous surfactant solutions</v>
      </c>
      <c r="Q110" t="str">
        <f t="shared" si="19"/>
        <v>656</v>
      </c>
    </row>
    <row r="111" spans="1:17" x14ac:dyDescent="0.35">
      <c r="A111" t="s">
        <v>1970</v>
      </c>
      <c r="B111">
        <f t="shared" si="17"/>
        <v>219</v>
      </c>
      <c r="C111">
        <f t="shared" si="11"/>
        <v>220</v>
      </c>
      <c r="D111" t="str">
        <f t="shared" si="12"/>
        <v>=A219</v>
      </c>
      <c r="E111" t="str">
        <f t="shared" si="13"/>
        <v>=A220</v>
      </c>
      <c r="F111" t="str">
        <f>A220</f>
        <v>A Candidate Self-Propagating System Enriched by Chemical Ecosystem Selection;658</v>
      </c>
      <c r="G111" t="str">
        <f>A221</f>
        <v>Lena Vincent, H. James Cleaves and David Baum</v>
      </c>
      <c r="H111">
        <f t="shared" si="14"/>
        <v>2</v>
      </c>
      <c r="I111" t="e">
        <f t="shared" si="15"/>
        <v>#VALUE!</v>
      </c>
      <c r="J111" t="str">
        <f t="shared" si="16"/>
        <v>Candidate Self-Propagating System Enriched by Chemical Ecosystem Selection;658</v>
      </c>
      <c r="P111" t="str">
        <f t="shared" si="18"/>
        <v>A Candidate Self-Propagating System Enriched by Chemical Ecosystem Selection</v>
      </c>
      <c r="Q111" t="str">
        <f t="shared" si="19"/>
        <v>658</v>
      </c>
    </row>
    <row r="112" spans="1:17" x14ac:dyDescent="0.35">
      <c r="A112" t="s">
        <v>2171</v>
      </c>
      <c r="B112">
        <f t="shared" si="17"/>
        <v>221</v>
      </c>
      <c r="C112">
        <f t="shared" si="11"/>
        <v>222</v>
      </c>
      <c r="D112" t="str">
        <f t="shared" si="12"/>
        <v>=A221</v>
      </c>
      <c r="E112" t="str">
        <f t="shared" si="13"/>
        <v>=A222</v>
      </c>
      <c r="F112">
        <f>A222</f>
        <v>0</v>
      </c>
      <c r="G112">
        <f>A223</f>
        <v>0</v>
      </c>
      <c r="H112" t="e">
        <f t="shared" si="14"/>
        <v>#VALUE!</v>
      </c>
      <c r="I112" t="e">
        <f t="shared" si="15"/>
        <v>#VALUE!</v>
      </c>
      <c r="J112" t="e">
        <f t="shared" si="16"/>
        <v>#VALUE!</v>
      </c>
    </row>
    <row r="113" spans="1:10" x14ac:dyDescent="0.35">
      <c r="A113" t="s">
        <v>1972</v>
      </c>
      <c r="B113">
        <f t="shared" si="17"/>
        <v>223</v>
      </c>
      <c r="C113">
        <f t="shared" si="11"/>
        <v>224</v>
      </c>
      <c r="D113" t="str">
        <f t="shared" si="12"/>
        <v>=A223</v>
      </c>
      <c r="E113" t="str">
        <f t="shared" si="13"/>
        <v>=A224</v>
      </c>
      <c r="F113">
        <f>A224</f>
        <v>0</v>
      </c>
      <c r="G113">
        <f>A225</f>
        <v>0</v>
      </c>
      <c r="H113" t="e">
        <f t="shared" si="14"/>
        <v>#VALUE!</v>
      </c>
      <c r="I113" t="e">
        <f t="shared" si="15"/>
        <v>#VALUE!</v>
      </c>
      <c r="J113" t="e">
        <f t="shared" si="16"/>
        <v>#VALUE!</v>
      </c>
    </row>
    <row r="114" spans="1:10" x14ac:dyDescent="0.35">
      <c r="A114" t="s">
        <v>2172</v>
      </c>
      <c r="B114">
        <f t="shared" si="17"/>
        <v>225</v>
      </c>
      <c r="C114">
        <f t="shared" si="11"/>
        <v>226</v>
      </c>
      <c r="D114" t="str">
        <f t="shared" si="12"/>
        <v>=A225</v>
      </c>
      <c r="E114" t="str">
        <f t="shared" si="13"/>
        <v>=A226</v>
      </c>
      <c r="F114">
        <f>A226</f>
        <v>0</v>
      </c>
      <c r="G114">
        <f>A227</f>
        <v>0</v>
      </c>
      <c r="H114" t="e">
        <f t="shared" si="14"/>
        <v>#VALUE!</v>
      </c>
      <c r="I114" t="e">
        <f t="shared" si="15"/>
        <v>#VALUE!</v>
      </c>
      <c r="J114" t="e">
        <f t="shared" si="16"/>
        <v>#VALUE!</v>
      </c>
    </row>
    <row r="115" spans="1:10" x14ac:dyDescent="0.35">
      <c r="A115" t="s">
        <v>1974</v>
      </c>
      <c r="B115">
        <f t="shared" si="17"/>
        <v>227</v>
      </c>
      <c r="C115">
        <f t="shared" si="11"/>
        <v>228</v>
      </c>
      <c r="D115" t="str">
        <f t="shared" si="12"/>
        <v>=A227</v>
      </c>
      <c r="E115" t="str">
        <f t="shared" si="13"/>
        <v>=A228</v>
      </c>
      <c r="F115">
        <f>A228</f>
        <v>0</v>
      </c>
      <c r="G115">
        <f>A229</f>
        <v>0</v>
      </c>
      <c r="H115" t="e">
        <f t="shared" si="14"/>
        <v>#VALUE!</v>
      </c>
      <c r="I115" t="e">
        <f t="shared" si="15"/>
        <v>#VALUE!</v>
      </c>
      <c r="J115" t="e">
        <f t="shared" si="16"/>
        <v>#VALUE!</v>
      </c>
    </row>
    <row r="116" spans="1:10" x14ac:dyDescent="0.35">
      <c r="A116" t="s">
        <v>2173</v>
      </c>
      <c r="B116">
        <f t="shared" si="17"/>
        <v>229</v>
      </c>
      <c r="C116">
        <f t="shared" si="11"/>
        <v>230</v>
      </c>
      <c r="D116" t="str">
        <f t="shared" si="12"/>
        <v>=A229</v>
      </c>
      <c r="E116" t="str">
        <f t="shared" si="13"/>
        <v>=A230</v>
      </c>
      <c r="F116">
        <f>A230</f>
        <v>0</v>
      </c>
      <c r="G116">
        <f>A231</f>
        <v>0</v>
      </c>
      <c r="H116" t="e">
        <f t="shared" si="14"/>
        <v>#VALUE!</v>
      </c>
      <c r="I116" t="e">
        <f t="shared" si="15"/>
        <v>#VALUE!</v>
      </c>
      <c r="J116" t="e">
        <f t="shared" si="16"/>
        <v>#VALUE!</v>
      </c>
    </row>
    <row r="117" spans="1:10" x14ac:dyDescent="0.35">
      <c r="A117" t="s">
        <v>1976</v>
      </c>
      <c r="B117">
        <f t="shared" si="17"/>
        <v>231</v>
      </c>
      <c r="C117">
        <f t="shared" si="11"/>
        <v>232</v>
      </c>
      <c r="D117" t="str">
        <f t="shared" si="12"/>
        <v>=A231</v>
      </c>
      <c r="E117" t="str">
        <f t="shared" si="13"/>
        <v>=A232</v>
      </c>
      <c r="F117">
        <f>A232</f>
        <v>0</v>
      </c>
      <c r="G117">
        <f>A233</f>
        <v>0</v>
      </c>
      <c r="H117" t="e">
        <f t="shared" si="14"/>
        <v>#VALUE!</v>
      </c>
      <c r="I117" t="e">
        <f t="shared" si="15"/>
        <v>#VALUE!</v>
      </c>
      <c r="J117" t="e">
        <f t="shared" si="16"/>
        <v>#VALUE!</v>
      </c>
    </row>
    <row r="118" spans="1:10" x14ac:dyDescent="0.35">
      <c r="A118" t="s">
        <v>2174</v>
      </c>
      <c r="B118">
        <f t="shared" si="17"/>
        <v>233</v>
      </c>
      <c r="C118">
        <f t="shared" si="11"/>
        <v>234</v>
      </c>
      <c r="D118" t="str">
        <f t="shared" si="12"/>
        <v>=A233</v>
      </c>
      <c r="E118" t="str">
        <f t="shared" si="13"/>
        <v>=A234</v>
      </c>
      <c r="F118">
        <f>A234</f>
        <v>0</v>
      </c>
      <c r="G118">
        <f>A235</f>
        <v>0</v>
      </c>
      <c r="H118" t="e">
        <f t="shared" si="14"/>
        <v>#VALUE!</v>
      </c>
      <c r="I118" t="e">
        <f t="shared" si="15"/>
        <v>#VALUE!</v>
      </c>
      <c r="J118" t="e">
        <f t="shared" si="16"/>
        <v>#VALUE!</v>
      </c>
    </row>
    <row r="119" spans="1:10" x14ac:dyDescent="0.35">
      <c r="A119" t="s">
        <v>1978</v>
      </c>
      <c r="B119">
        <f t="shared" si="17"/>
        <v>235</v>
      </c>
      <c r="C119">
        <f t="shared" si="11"/>
        <v>236</v>
      </c>
      <c r="D119" t="str">
        <f t="shared" si="12"/>
        <v>=A235</v>
      </c>
      <c r="E119" t="str">
        <f t="shared" si="13"/>
        <v>=A236</v>
      </c>
      <c r="F119">
        <f>A236</f>
        <v>0</v>
      </c>
      <c r="G119">
        <f>A237</f>
        <v>0</v>
      </c>
      <c r="H119" t="e">
        <f t="shared" si="14"/>
        <v>#VALUE!</v>
      </c>
      <c r="I119" t="e">
        <f t="shared" si="15"/>
        <v>#VALUE!</v>
      </c>
      <c r="J119" t="e">
        <f t="shared" si="16"/>
        <v>#VALUE!</v>
      </c>
    </row>
    <row r="120" spans="1:10" x14ac:dyDescent="0.35">
      <c r="A120" t="s">
        <v>2175</v>
      </c>
      <c r="B120">
        <f t="shared" si="17"/>
        <v>237</v>
      </c>
      <c r="C120">
        <f t="shared" si="11"/>
        <v>238</v>
      </c>
      <c r="D120" t="str">
        <f t="shared" si="12"/>
        <v>=A237</v>
      </c>
      <c r="E120" t="str">
        <f t="shared" si="13"/>
        <v>=A238</v>
      </c>
      <c r="F120">
        <f>A238</f>
        <v>0</v>
      </c>
      <c r="G120">
        <f>A239</f>
        <v>0</v>
      </c>
      <c r="H120" t="e">
        <f t="shared" si="14"/>
        <v>#VALUE!</v>
      </c>
      <c r="I120" t="e">
        <f t="shared" si="15"/>
        <v>#VALUE!</v>
      </c>
      <c r="J120" t="e">
        <f t="shared" si="16"/>
        <v>#VALUE!</v>
      </c>
    </row>
    <row r="121" spans="1:10" x14ac:dyDescent="0.35">
      <c r="A121" t="s">
        <v>430</v>
      </c>
      <c r="B121">
        <f t="shared" si="17"/>
        <v>239</v>
      </c>
      <c r="C121">
        <f t="shared" si="11"/>
        <v>240</v>
      </c>
      <c r="D121" t="str">
        <f t="shared" si="12"/>
        <v>=A239</v>
      </c>
      <c r="E121" t="str">
        <f t="shared" si="13"/>
        <v>=A240</v>
      </c>
      <c r="F121">
        <f>A240</f>
        <v>0</v>
      </c>
      <c r="G121">
        <f>A241</f>
        <v>0</v>
      </c>
      <c r="H121" t="e">
        <f t="shared" si="14"/>
        <v>#VALUE!</v>
      </c>
      <c r="I121" t="e">
        <f t="shared" si="15"/>
        <v>#VALUE!</v>
      </c>
      <c r="J121" t="e">
        <f t="shared" si="16"/>
        <v>#VALUE!</v>
      </c>
    </row>
    <row r="122" spans="1:10" x14ac:dyDescent="0.35">
      <c r="A122" t="s">
        <v>2176</v>
      </c>
      <c r="B122">
        <f t="shared" si="17"/>
        <v>241</v>
      </c>
      <c r="C122">
        <f t="shared" si="11"/>
        <v>242</v>
      </c>
      <c r="D122" t="str">
        <f t="shared" si="12"/>
        <v>=A241</v>
      </c>
      <c r="E122" t="str">
        <f t="shared" si="13"/>
        <v>=A242</v>
      </c>
      <c r="F122">
        <f>A242</f>
        <v>0</v>
      </c>
      <c r="G122">
        <f>A243</f>
        <v>0</v>
      </c>
      <c r="H122" t="e">
        <f t="shared" si="14"/>
        <v>#VALUE!</v>
      </c>
      <c r="I122" t="e">
        <f t="shared" si="15"/>
        <v>#VALUE!</v>
      </c>
      <c r="J122" t="e">
        <f t="shared" si="16"/>
        <v>#VALUE!</v>
      </c>
    </row>
    <row r="123" spans="1:10" x14ac:dyDescent="0.35">
      <c r="A123" t="s">
        <v>1981</v>
      </c>
      <c r="B123">
        <f t="shared" si="17"/>
        <v>243</v>
      </c>
      <c r="C123">
        <f t="shared" si="11"/>
        <v>244</v>
      </c>
      <c r="D123" t="str">
        <f t="shared" si="12"/>
        <v>=A243</v>
      </c>
      <c r="E123" t="str">
        <f t="shared" si="13"/>
        <v>=A244</v>
      </c>
      <c r="F123">
        <f>A244</f>
        <v>0</v>
      </c>
      <c r="G123">
        <f>A245</f>
        <v>0</v>
      </c>
      <c r="H123" t="e">
        <f t="shared" si="14"/>
        <v>#VALUE!</v>
      </c>
      <c r="I123" t="e">
        <f t="shared" si="15"/>
        <v>#VALUE!</v>
      </c>
      <c r="J123" t="e">
        <f t="shared" si="16"/>
        <v>#VALUE!</v>
      </c>
    </row>
    <row r="124" spans="1:10" x14ac:dyDescent="0.35">
      <c r="A124" t="s">
        <v>2177</v>
      </c>
      <c r="B124">
        <f t="shared" si="17"/>
        <v>245</v>
      </c>
      <c r="C124">
        <f t="shared" si="11"/>
        <v>246</v>
      </c>
      <c r="D124" t="str">
        <f t="shared" si="12"/>
        <v>=A245</v>
      </c>
      <c r="E124" t="str">
        <f t="shared" si="13"/>
        <v>=A246</v>
      </c>
      <c r="F124">
        <f>A246</f>
        <v>0</v>
      </c>
      <c r="G124">
        <f>A247</f>
        <v>0</v>
      </c>
      <c r="H124" t="e">
        <f t="shared" si="14"/>
        <v>#VALUE!</v>
      </c>
      <c r="I124" t="e">
        <f t="shared" si="15"/>
        <v>#VALUE!</v>
      </c>
      <c r="J124" t="e">
        <f t="shared" si="16"/>
        <v>#VALUE!</v>
      </c>
    </row>
    <row r="125" spans="1:10" x14ac:dyDescent="0.35">
      <c r="A125" t="s">
        <v>1983</v>
      </c>
      <c r="B125">
        <f t="shared" si="17"/>
        <v>247</v>
      </c>
      <c r="C125">
        <f t="shared" si="11"/>
        <v>248</v>
      </c>
      <c r="D125" t="str">
        <f t="shared" si="12"/>
        <v>=A247</v>
      </c>
      <c r="E125" t="str">
        <f t="shared" si="13"/>
        <v>=A248</v>
      </c>
      <c r="F125">
        <f>A248</f>
        <v>0</v>
      </c>
      <c r="G125">
        <f>A249</f>
        <v>0</v>
      </c>
      <c r="H125" t="e">
        <f t="shared" si="14"/>
        <v>#VALUE!</v>
      </c>
      <c r="I125" t="e">
        <f t="shared" si="15"/>
        <v>#VALUE!</v>
      </c>
      <c r="J125" t="e">
        <f t="shared" si="16"/>
        <v>#VALUE!</v>
      </c>
    </row>
    <row r="126" spans="1:10" x14ac:dyDescent="0.35">
      <c r="A126" t="s">
        <v>2178</v>
      </c>
      <c r="B126">
        <f t="shared" si="17"/>
        <v>249</v>
      </c>
      <c r="C126">
        <f t="shared" si="11"/>
        <v>250</v>
      </c>
      <c r="D126" t="str">
        <f t="shared" si="12"/>
        <v>=A249</v>
      </c>
      <c r="E126" t="str">
        <f t="shared" si="13"/>
        <v>=A250</v>
      </c>
      <c r="F126">
        <f>A250</f>
        <v>0</v>
      </c>
      <c r="G126">
        <f>A251</f>
        <v>0</v>
      </c>
      <c r="H126" t="e">
        <f t="shared" si="14"/>
        <v>#VALUE!</v>
      </c>
      <c r="I126" t="e">
        <f t="shared" si="15"/>
        <v>#VALUE!</v>
      </c>
      <c r="J126" t="e">
        <f t="shared" si="16"/>
        <v>#VALUE!</v>
      </c>
    </row>
    <row r="127" spans="1:10" x14ac:dyDescent="0.35">
      <c r="A127" t="s">
        <v>1985</v>
      </c>
      <c r="B127">
        <f t="shared" si="17"/>
        <v>251</v>
      </c>
      <c r="C127">
        <f t="shared" si="11"/>
        <v>252</v>
      </c>
      <c r="D127" t="str">
        <f t="shared" si="12"/>
        <v>=A251</v>
      </c>
      <c r="E127" t="str">
        <f t="shared" si="13"/>
        <v>=A252</v>
      </c>
      <c r="F127">
        <f>A252</f>
        <v>0</v>
      </c>
      <c r="G127">
        <f>A253</f>
        <v>0</v>
      </c>
      <c r="H127" t="e">
        <f t="shared" si="14"/>
        <v>#VALUE!</v>
      </c>
      <c r="I127" t="e">
        <f t="shared" si="15"/>
        <v>#VALUE!</v>
      </c>
      <c r="J127" t="e">
        <f t="shared" si="16"/>
        <v>#VALUE!</v>
      </c>
    </row>
    <row r="128" spans="1:10" x14ac:dyDescent="0.35">
      <c r="A128" t="s">
        <v>2179</v>
      </c>
      <c r="B128">
        <f t="shared" si="17"/>
        <v>253</v>
      </c>
      <c r="C128">
        <f t="shared" si="11"/>
        <v>254</v>
      </c>
      <c r="D128" t="str">
        <f t="shared" si="12"/>
        <v>=A253</v>
      </c>
      <c r="E128" t="str">
        <f t="shared" si="13"/>
        <v>=A254</v>
      </c>
      <c r="F128">
        <f>A254</f>
        <v>0</v>
      </c>
      <c r="G128">
        <f>A255</f>
        <v>0</v>
      </c>
      <c r="H128" t="e">
        <f t="shared" si="14"/>
        <v>#VALUE!</v>
      </c>
      <c r="I128" t="e">
        <f t="shared" si="15"/>
        <v>#VALUE!</v>
      </c>
      <c r="J128" t="e">
        <f t="shared" si="16"/>
        <v>#VALUE!</v>
      </c>
    </row>
    <row r="129" spans="1:10" x14ac:dyDescent="0.35">
      <c r="A129" t="s">
        <v>1987</v>
      </c>
      <c r="B129">
        <f t="shared" si="17"/>
        <v>255</v>
      </c>
      <c r="C129">
        <f t="shared" si="11"/>
        <v>256</v>
      </c>
      <c r="D129" t="str">
        <f t="shared" si="12"/>
        <v>=A255</v>
      </c>
      <c r="E129" t="str">
        <f t="shared" si="13"/>
        <v>=A256</v>
      </c>
      <c r="F129">
        <f>A256</f>
        <v>0</v>
      </c>
      <c r="G129">
        <f>A257</f>
        <v>0</v>
      </c>
      <c r="H129" t="e">
        <f t="shared" si="14"/>
        <v>#VALUE!</v>
      </c>
      <c r="I129" t="e">
        <f t="shared" si="15"/>
        <v>#VALUE!</v>
      </c>
      <c r="J129" t="e">
        <f t="shared" si="16"/>
        <v>#VALUE!</v>
      </c>
    </row>
    <row r="130" spans="1:10" x14ac:dyDescent="0.35">
      <c r="A130" t="s">
        <v>2180</v>
      </c>
      <c r="B130">
        <f t="shared" si="17"/>
        <v>257</v>
      </c>
      <c r="C130">
        <f t="shared" si="11"/>
        <v>258</v>
      </c>
      <c r="D130" t="str">
        <f t="shared" si="12"/>
        <v>=A257</v>
      </c>
      <c r="E130" t="str">
        <f t="shared" si="13"/>
        <v>=A258</v>
      </c>
      <c r="F130">
        <f>A258</f>
        <v>0</v>
      </c>
      <c r="G130">
        <f>A259</f>
        <v>0</v>
      </c>
      <c r="H130" t="e">
        <f t="shared" si="14"/>
        <v>#VALUE!</v>
      </c>
      <c r="I130" t="e">
        <f t="shared" si="15"/>
        <v>#VALUE!</v>
      </c>
      <c r="J130" t="e">
        <f t="shared" si="16"/>
        <v>#VALUE!</v>
      </c>
    </row>
    <row r="131" spans="1:10" x14ac:dyDescent="0.35">
      <c r="A131" t="s">
        <v>1989</v>
      </c>
      <c r="B131">
        <f t="shared" si="17"/>
        <v>259</v>
      </c>
      <c r="C131">
        <f t="shared" ref="C131:C165" si="20">B131+1</f>
        <v>260</v>
      </c>
      <c r="D131" t="str">
        <f t="shared" ref="D131:D165" si="21">_xlfn.CONCAT("=A",B131)</f>
        <v>=A259</v>
      </c>
      <c r="E131" t="str">
        <f t="shared" ref="E131:E165" si="22">_xlfn.CONCAT("=A",C131)</f>
        <v>=A260</v>
      </c>
      <c r="F131">
        <f>A260</f>
        <v>0</v>
      </c>
      <c r="G131">
        <f>A261</f>
        <v>0</v>
      </c>
      <c r="H131" t="e">
        <f t="shared" ref="H131:H165" si="23">SEARCH(" ",F131)</f>
        <v>#VALUE!</v>
      </c>
      <c r="I131" t="e">
        <f t="shared" ref="I131:I165" si="24">LEFT(F131,H131-1)+1-1</f>
        <v>#VALUE!</v>
      </c>
      <c r="J131" t="e">
        <f t="shared" ref="J131:J165" si="25">RIGHT(F131,LEN(F131)-H131)</f>
        <v>#VALUE!</v>
      </c>
    </row>
    <row r="132" spans="1:10" x14ac:dyDescent="0.35">
      <c r="A132" t="s">
        <v>2181</v>
      </c>
      <c r="B132">
        <f t="shared" ref="B132:B165" si="26">B131+2</f>
        <v>261</v>
      </c>
      <c r="C132">
        <f t="shared" si="20"/>
        <v>262</v>
      </c>
      <c r="D132" t="str">
        <f t="shared" si="21"/>
        <v>=A261</v>
      </c>
      <c r="E132" t="str">
        <f t="shared" si="22"/>
        <v>=A262</v>
      </c>
      <c r="F132">
        <f>A262</f>
        <v>0</v>
      </c>
      <c r="G132">
        <f>A263</f>
        <v>0</v>
      </c>
      <c r="H132" t="e">
        <f t="shared" si="23"/>
        <v>#VALUE!</v>
      </c>
      <c r="I132" t="e">
        <f t="shared" si="24"/>
        <v>#VALUE!</v>
      </c>
      <c r="J132" t="e">
        <f t="shared" si="25"/>
        <v>#VALUE!</v>
      </c>
    </row>
    <row r="133" spans="1:10" x14ac:dyDescent="0.35">
      <c r="A133" t="s">
        <v>514</v>
      </c>
      <c r="B133">
        <f t="shared" si="26"/>
        <v>263</v>
      </c>
      <c r="C133">
        <f t="shared" si="20"/>
        <v>264</v>
      </c>
      <c r="D133" t="str">
        <f t="shared" si="21"/>
        <v>=A263</v>
      </c>
      <c r="E133" t="str">
        <f t="shared" si="22"/>
        <v>=A264</v>
      </c>
      <c r="F133">
        <f>A264</f>
        <v>0</v>
      </c>
      <c r="G133">
        <f>A265</f>
        <v>0</v>
      </c>
      <c r="H133" t="e">
        <f t="shared" si="23"/>
        <v>#VALUE!</v>
      </c>
      <c r="I133" t="e">
        <f t="shared" si="24"/>
        <v>#VALUE!</v>
      </c>
      <c r="J133" t="e">
        <f t="shared" si="25"/>
        <v>#VALUE!</v>
      </c>
    </row>
    <row r="134" spans="1:10" x14ac:dyDescent="0.35">
      <c r="A134" t="s">
        <v>2182</v>
      </c>
      <c r="B134">
        <f t="shared" si="26"/>
        <v>265</v>
      </c>
      <c r="C134">
        <f t="shared" si="20"/>
        <v>266</v>
      </c>
      <c r="D134" t="str">
        <f t="shared" si="21"/>
        <v>=A265</v>
      </c>
      <c r="E134" t="str">
        <f t="shared" si="22"/>
        <v>=A266</v>
      </c>
      <c r="F134">
        <f>A266</f>
        <v>0</v>
      </c>
      <c r="G134">
        <f>A267</f>
        <v>0</v>
      </c>
      <c r="H134" t="e">
        <f t="shared" si="23"/>
        <v>#VALUE!</v>
      </c>
      <c r="I134" t="e">
        <f t="shared" si="24"/>
        <v>#VALUE!</v>
      </c>
      <c r="J134" t="e">
        <f t="shared" si="25"/>
        <v>#VALUE!</v>
      </c>
    </row>
    <row r="135" spans="1:10" x14ac:dyDescent="0.35">
      <c r="A135" t="s">
        <v>1992</v>
      </c>
      <c r="B135">
        <f t="shared" si="26"/>
        <v>267</v>
      </c>
      <c r="C135">
        <f t="shared" si="20"/>
        <v>268</v>
      </c>
      <c r="D135" t="str">
        <f t="shared" si="21"/>
        <v>=A267</v>
      </c>
      <c r="E135" t="str">
        <f t="shared" si="22"/>
        <v>=A268</v>
      </c>
      <c r="F135">
        <f>A268</f>
        <v>0</v>
      </c>
      <c r="G135">
        <f>A269</f>
        <v>0</v>
      </c>
      <c r="H135" t="e">
        <f t="shared" si="23"/>
        <v>#VALUE!</v>
      </c>
      <c r="I135" t="e">
        <f t="shared" si="24"/>
        <v>#VALUE!</v>
      </c>
      <c r="J135" t="e">
        <f t="shared" si="25"/>
        <v>#VALUE!</v>
      </c>
    </row>
    <row r="136" spans="1:10" x14ac:dyDescent="0.35">
      <c r="A136" t="s">
        <v>2183</v>
      </c>
      <c r="B136">
        <f t="shared" si="26"/>
        <v>269</v>
      </c>
      <c r="C136">
        <f t="shared" si="20"/>
        <v>270</v>
      </c>
      <c r="D136" t="str">
        <f t="shared" si="21"/>
        <v>=A269</v>
      </c>
      <c r="E136" t="str">
        <f t="shared" si="22"/>
        <v>=A270</v>
      </c>
      <c r="F136">
        <f>A270</f>
        <v>0</v>
      </c>
      <c r="G136">
        <f>A271</f>
        <v>0</v>
      </c>
      <c r="H136" t="e">
        <f t="shared" si="23"/>
        <v>#VALUE!</v>
      </c>
      <c r="I136" t="e">
        <f t="shared" si="24"/>
        <v>#VALUE!</v>
      </c>
      <c r="J136" t="e">
        <f t="shared" si="25"/>
        <v>#VALUE!</v>
      </c>
    </row>
    <row r="137" spans="1:10" x14ac:dyDescent="0.35">
      <c r="A137" t="s">
        <v>1994</v>
      </c>
      <c r="B137">
        <f t="shared" si="26"/>
        <v>271</v>
      </c>
      <c r="C137">
        <f t="shared" si="20"/>
        <v>272</v>
      </c>
      <c r="D137" t="str">
        <f t="shared" si="21"/>
        <v>=A271</v>
      </c>
      <c r="E137" t="str">
        <f t="shared" si="22"/>
        <v>=A272</v>
      </c>
      <c r="F137">
        <f>A272</f>
        <v>0</v>
      </c>
      <c r="G137">
        <f>A273</f>
        <v>0</v>
      </c>
      <c r="H137" t="e">
        <f t="shared" si="23"/>
        <v>#VALUE!</v>
      </c>
      <c r="I137" t="e">
        <f t="shared" si="24"/>
        <v>#VALUE!</v>
      </c>
      <c r="J137" t="e">
        <f t="shared" si="25"/>
        <v>#VALUE!</v>
      </c>
    </row>
    <row r="138" spans="1:10" x14ac:dyDescent="0.35">
      <c r="A138" t="s">
        <v>2184</v>
      </c>
      <c r="B138">
        <f t="shared" si="26"/>
        <v>273</v>
      </c>
      <c r="C138">
        <f t="shared" si="20"/>
        <v>274</v>
      </c>
      <c r="D138" t="str">
        <f t="shared" si="21"/>
        <v>=A273</v>
      </c>
      <c r="E138" t="str">
        <f t="shared" si="22"/>
        <v>=A274</v>
      </c>
      <c r="F138">
        <f>A274</f>
        <v>0</v>
      </c>
      <c r="G138">
        <f>A275</f>
        <v>0</v>
      </c>
      <c r="H138" t="e">
        <f t="shared" si="23"/>
        <v>#VALUE!</v>
      </c>
      <c r="I138" t="e">
        <f t="shared" si="24"/>
        <v>#VALUE!</v>
      </c>
      <c r="J138" t="e">
        <f t="shared" si="25"/>
        <v>#VALUE!</v>
      </c>
    </row>
    <row r="139" spans="1:10" x14ac:dyDescent="0.35">
      <c r="A139" t="s">
        <v>1996</v>
      </c>
      <c r="B139">
        <f t="shared" si="26"/>
        <v>275</v>
      </c>
      <c r="C139">
        <f t="shared" si="20"/>
        <v>276</v>
      </c>
      <c r="D139" t="str">
        <f t="shared" si="21"/>
        <v>=A275</v>
      </c>
      <c r="E139" t="str">
        <f t="shared" si="22"/>
        <v>=A276</v>
      </c>
      <c r="F139">
        <f>A276</f>
        <v>0</v>
      </c>
      <c r="G139">
        <f>A277</f>
        <v>0</v>
      </c>
      <c r="H139" t="e">
        <f t="shared" si="23"/>
        <v>#VALUE!</v>
      </c>
      <c r="I139" t="e">
        <f t="shared" si="24"/>
        <v>#VALUE!</v>
      </c>
      <c r="J139" t="e">
        <f t="shared" si="25"/>
        <v>#VALUE!</v>
      </c>
    </row>
    <row r="140" spans="1:10" x14ac:dyDescent="0.35">
      <c r="A140" t="s">
        <v>2185</v>
      </c>
      <c r="B140">
        <f t="shared" si="26"/>
        <v>277</v>
      </c>
      <c r="C140">
        <f t="shared" si="20"/>
        <v>278</v>
      </c>
      <c r="D140" t="str">
        <f t="shared" si="21"/>
        <v>=A277</v>
      </c>
      <c r="E140" t="str">
        <f t="shared" si="22"/>
        <v>=A278</v>
      </c>
      <c r="F140">
        <f>A278</f>
        <v>0</v>
      </c>
      <c r="G140">
        <f>A279</f>
        <v>0</v>
      </c>
      <c r="H140" t="e">
        <f t="shared" si="23"/>
        <v>#VALUE!</v>
      </c>
      <c r="I140" t="e">
        <f t="shared" si="24"/>
        <v>#VALUE!</v>
      </c>
      <c r="J140" t="e">
        <f t="shared" si="25"/>
        <v>#VALUE!</v>
      </c>
    </row>
    <row r="141" spans="1:10" x14ac:dyDescent="0.35">
      <c r="A141" t="s">
        <v>1059</v>
      </c>
      <c r="B141">
        <f t="shared" si="26"/>
        <v>279</v>
      </c>
      <c r="C141">
        <f t="shared" si="20"/>
        <v>280</v>
      </c>
      <c r="D141" t="str">
        <f t="shared" si="21"/>
        <v>=A279</v>
      </c>
      <c r="E141" t="str">
        <f t="shared" si="22"/>
        <v>=A280</v>
      </c>
      <c r="F141">
        <f>A280</f>
        <v>0</v>
      </c>
      <c r="G141">
        <f>A281</f>
        <v>0</v>
      </c>
      <c r="H141" t="e">
        <f t="shared" si="23"/>
        <v>#VALUE!</v>
      </c>
      <c r="I141" t="e">
        <f t="shared" si="24"/>
        <v>#VALUE!</v>
      </c>
      <c r="J141" t="e">
        <f t="shared" si="25"/>
        <v>#VALUE!</v>
      </c>
    </row>
    <row r="142" spans="1:10" x14ac:dyDescent="0.35">
      <c r="A142" t="s">
        <v>2186</v>
      </c>
      <c r="B142">
        <f t="shared" si="26"/>
        <v>281</v>
      </c>
      <c r="C142">
        <f t="shared" si="20"/>
        <v>282</v>
      </c>
      <c r="D142" t="str">
        <f t="shared" si="21"/>
        <v>=A281</v>
      </c>
      <c r="E142" t="str">
        <f t="shared" si="22"/>
        <v>=A282</v>
      </c>
      <c r="F142">
        <f>A282</f>
        <v>0</v>
      </c>
      <c r="G142">
        <f>A283</f>
        <v>0</v>
      </c>
      <c r="H142" t="e">
        <f t="shared" si="23"/>
        <v>#VALUE!</v>
      </c>
      <c r="I142" t="e">
        <f t="shared" si="24"/>
        <v>#VALUE!</v>
      </c>
      <c r="J142" t="e">
        <f t="shared" si="25"/>
        <v>#VALUE!</v>
      </c>
    </row>
    <row r="143" spans="1:10" x14ac:dyDescent="0.35">
      <c r="A143" t="s">
        <v>1999</v>
      </c>
      <c r="B143">
        <f t="shared" si="26"/>
        <v>283</v>
      </c>
      <c r="C143">
        <f t="shared" si="20"/>
        <v>284</v>
      </c>
      <c r="D143" t="str">
        <f t="shared" si="21"/>
        <v>=A283</v>
      </c>
      <c r="E143" t="str">
        <f t="shared" si="22"/>
        <v>=A284</v>
      </c>
      <c r="F143">
        <f>A284</f>
        <v>0</v>
      </c>
      <c r="G143">
        <f>A285</f>
        <v>0</v>
      </c>
      <c r="H143" t="e">
        <f t="shared" si="23"/>
        <v>#VALUE!</v>
      </c>
      <c r="I143" t="e">
        <f t="shared" si="24"/>
        <v>#VALUE!</v>
      </c>
      <c r="J143" t="e">
        <f t="shared" si="25"/>
        <v>#VALUE!</v>
      </c>
    </row>
    <row r="144" spans="1:10" x14ac:dyDescent="0.35">
      <c r="A144" t="s">
        <v>2187</v>
      </c>
      <c r="B144">
        <f t="shared" si="26"/>
        <v>285</v>
      </c>
      <c r="C144">
        <f t="shared" si="20"/>
        <v>286</v>
      </c>
      <c r="D144" t="str">
        <f t="shared" si="21"/>
        <v>=A285</v>
      </c>
      <c r="E144" t="str">
        <f t="shared" si="22"/>
        <v>=A286</v>
      </c>
      <c r="F144">
        <f>A286</f>
        <v>0</v>
      </c>
      <c r="G144">
        <f>A287</f>
        <v>0</v>
      </c>
      <c r="H144" t="e">
        <f t="shared" si="23"/>
        <v>#VALUE!</v>
      </c>
      <c r="I144" t="e">
        <f t="shared" si="24"/>
        <v>#VALUE!</v>
      </c>
      <c r="J144" t="e">
        <f t="shared" si="25"/>
        <v>#VALUE!</v>
      </c>
    </row>
    <row r="145" spans="1:10" x14ac:dyDescent="0.35">
      <c r="A145" t="s">
        <v>2001</v>
      </c>
      <c r="B145">
        <f t="shared" si="26"/>
        <v>287</v>
      </c>
      <c r="C145">
        <f t="shared" si="20"/>
        <v>288</v>
      </c>
      <c r="D145" t="str">
        <f t="shared" si="21"/>
        <v>=A287</v>
      </c>
      <c r="E145" t="str">
        <f t="shared" si="22"/>
        <v>=A288</v>
      </c>
      <c r="F145">
        <f>A288</f>
        <v>0</v>
      </c>
      <c r="G145">
        <f>A289</f>
        <v>0</v>
      </c>
      <c r="H145" t="e">
        <f t="shared" si="23"/>
        <v>#VALUE!</v>
      </c>
      <c r="I145" t="e">
        <f t="shared" si="24"/>
        <v>#VALUE!</v>
      </c>
      <c r="J145" t="e">
        <f t="shared" si="25"/>
        <v>#VALUE!</v>
      </c>
    </row>
    <row r="146" spans="1:10" x14ac:dyDescent="0.35">
      <c r="A146" t="s">
        <v>2188</v>
      </c>
      <c r="B146">
        <f t="shared" si="26"/>
        <v>289</v>
      </c>
      <c r="C146">
        <f t="shared" si="20"/>
        <v>290</v>
      </c>
      <c r="D146" t="str">
        <f t="shared" si="21"/>
        <v>=A289</v>
      </c>
      <c r="E146" t="str">
        <f t="shared" si="22"/>
        <v>=A290</v>
      </c>
      <c r="F146">
        <f>A290</f>
        <v>0</v>
      </c>
      <c r="G146">
        <f>A291</f>
        <v>0</v>
      </c>
      <c r="H146" t="e">
        <f t="shared" si="23"/>
        <v>#VALUE!</v>
      </c>
      <c r="I146" t="e">
        <f t="shared" si="24"/>
        <v>#VALUE!</v>
      </c>
      <c r="J146" t="e">
        <f t="shared" si="25"/>
        <v>#VALUE!</v>
      </c>
    </row>
    <row r="147" spans="1:10" x14ac:dyDescent="0.35">
      <c r="A147" t="s">
        <v>2004</v>
      </c>
      <c r="B147">
        <f t="shared" si="26"/>
        <v>291</v>
      </c>
      <c r="C147">
        <f t="shared" si="20"/>
        <v>292</v>
      </c>
      <c r="D147" t="str">
        <f t="shared" si="21"/>
        <v>=A291</v>
      </c>
      <c r="E147" t="str">
        <f t="shared" si="22"/>
        <v>=A292</v>
      </c>
      <c r="F147">
        <f>A292</f>
        <v>0</v>
      </c>
      <c r="G147">
        <f>A293</f>
        <v>0</v>
      </c>
      <c r="H147" t="e">
        <f t="shared" si="23"/>
        <v>#VALUE!</v>
      </c>
      <c r="I147" t="e">
        <f t="shared" si="24"/>
        <v>#VALUE!</v>
      </c>
      <c r="J147" t="e">
        <f t="shared" si="25"/>
        <v>#VALUE!</v>
      </c>
    </row>
    <row r="148" spans="1:10" x14ac:dyDescent="0.35">
      <c r="A148" t="s">
        <v>2189</v>
      </c>
      <c r="B148">
        <f t="shared" si="26"/>
        <v>293</v>
      </c>
      <c r="C148">
        <f t="shared" si="20"/>
        <v>294</v>
      </c>
      <c r="D148" t="str">
        <f t="shared" si="21"/>
        <v>=A293</v>
      </c>
      <c r="E148" t="str">
        <f t="shared" si="22"/>
        <v>=A294</v>
      </c>
      <c r="F148">
        <f>A294</f>
        <v>0</v>
      </c>
      <c r="G148">
        <f>A295</f>
        <v>0</v>
      </c>
      <c r="H148" t="e">
        <f t="shared" si="23"/>
        <v>#VALUE!</v>
      </c>
      <c r="I148" t="e">
        <f t="shared" si="24"/>
        <v>#VALUE!</v>
      </c>
      <c r="J148" t="e">
        <f t="shared" si="25"/>
        <v>#VALUE!</v>
      </c>
    </row>
    <row r="149" spans="1:10" x14ac:dyDescent="0.35">
      <c r="A149" t="s">
        <v>177</v>
      </c>
      <c r="B149">
        <f t="shared" si="26"/>
        <v>295</v>
      </c>
      <c r="C149">
        <f t="shared" si="20"/>
        <v>296</v>
      </c>
      <c r="D149" t="str">
        <f t="shared" si="21"/>
        <v>=A295</v>
      </c>
      <c r="E149" t="str">
        <f t="shared" si="22"/>
        <v>=A296</v>
      </c>
      <c r="F149">
        <f>A296</f>
        <v>0</v>
      </c>
      <c r="G149">
        <f>A297</f>
        <v>0</v>
      </c>
      <c r="H149" t="e">
        <f t="shared" si="23"/>
        <v>#VALUE!</v>
      </c>
      <c r="I149" t="e">
        <f t="shared" si="24"/>
        <v>#VALUE!</v>
      </c>
      <c r="J149" t="e">
        <f t="shared" si="25"/>
        <v>#VALUE!</v>
      </c>
    </row>
    <row r="150" spans="1:10" x14ac:dyDescent="0.35">
      <c r="A150" t="s">
        <v>2190</v>
      </c>
      <c r="B150">
        <f t="shared" si="26"/>
        <v>297</v>
      </c>
      <c r="C150">
        <f t="shared" si="20"/>
        <v>298</v>
      </c>
      <c r="D150" t="str">
        <f t="shared" si="21"/>
        <v>=A297</v>
      </c>
      <c r="E150" t="str">
        <f t="shared" si="22"/>
        <v>=A298</v>
      </c>
      <c r="F150">
        <f>A298</f>
        <v>0</v>
      </c>
      <c r="G150">
        <f>A299</f>
        <v>0</v>
      </c>
      <c r="H150" t="e">
        <f t="shared" si="23"/>
        <v>#VALUE!</v>
      </c>
      <c r="I150" t="e">
        <f t="shared" si="24"/>
        <v>#VALUE!</v>
      </c>
      <c r="J150" t="e">
        <f t="shared" si="25"/>
        <v>#VALUE!</v>
      </c>
    </row>
    <row r="151" spans="1:10" x14ac:dyDescent="0.35">
      <c r="A151" t="s">
        <v>2102</v>
      </c>
      <c r="B151">
        <f t="shared" si="26"/>
        <v>299</v>
      </c>
      <c r="C151">
        <f t="shared" si="20"/>
        <v>300</v>
      </c>
      <c r="D151" t="str">
        <f t="shared" si="21"/>
        <v>=A299</v>
      </c>
      <c r="E151" t="str">
        <f t="shared" si="22"/>
        <v>=A300</v>
      </c>
      <c r="F151">
        <f>A300</f>
        <v>0</v>
      </c>
      <c r="G151">
        <f>A301</f>
        <v>0</v>
      </c>
      <c r="H151" t="e">
        <f t="shared" si="23"/>
        <v>#VALUE!</v>
      </c>
      <c r="I151" t="e">
        <f t="shared" si="24"/>
        <v>#VALUE!</v>
      </c>
      <c r="J151" t="e">
        <f t="shared" si="25"/>
        <v>#VALUE!</v>
      </c>
    </row>
    <row r="152" spans="1:10" x14ac:dyDescent="0.35">
      <c r="A152" t="s">
        <v>2191</v>
      </c>
      <c r="B152">
        <f t="shared" si="26"/>
        <v>301</v>
      </c>
      <c r="C152">
        <f t="shared" si="20"/>
        <v>302</v>
      </c>
      <c r="D152" t="str">
        <f t="shared" si="21"/>
        <v>=A301</v>
      </c>
      <c r="E152" t="str">
        <f t="shared" si="22"/>
        <v>=A302</v>
      </c>
      <c r="F152">
        <f>A302</f>
        <v>0</v>
      </c>
      <c r="G152">
        <f>A303</f>
        <v>0</v>
      </c>
      <c r="H152" t="e">
        <f t="shared" si="23"/>
        <v>#VALUE!</v>
      </c>
      <c r="I152" t="e">
        <f t="shared" si="24"/>
        <v>#VALUE!</v>
      </c>
      <c r="J152" t="e">
        <f t="shared" si="25"/>
        <v>#VALUE!</v>
      </c>
    </row>
    <row r="153" spans="1:10" x14ac:dyDescent="0.35">
      <c r="A153" t="s">
        <v>2103</v>
      </c>
      <c r="B153">
        <f t="shared" si="26"/>
        <v>303</v>
      </c>
      <c r="C153">
        <f t="shared" si="20"/>
        <v>304</v>
      </c>
      <c r="D153" t="str">
        <f t="shared" si="21"/>
        <v>=A303</v>
      </c>
      <c r="E153" t="str">
        <f t="shared" si="22"/>
        <v>=A304</v>
      </c>
      <c r="F153">
        <f>A304</f>
        <v>0</v>
      </c>
      <c r="G153">
        <f>A305</f>
        <v>0</v>
      </c>
      <c r="H153" t="e">
        <f t="shared" si="23"/>
        <v>#VALUE!</v>
      </c>
      <c r="I153" t="e">
        <f t="shared" si="24"/>
        <v>#VALUE!</v>
      </c>
      <c r="J153" t="e">
        <f t="shared" si="25"/>
        <v>#VALUE!</v>
      </c>
    </row>
    <row r="154" spans="1:10" x14ac:dyDescent="0.35">
      <c r="A154" t="s">
        <v>2192</v>
      </c>
      <c r="B154">
        <f t="shared" si="26"/>
        <v>305</v>
      </c>
      <c r="C154">
        <f t="shared" si="20"/>
        <v>306</v>
      </c>
      <c r="D154" t="str">
        <f t="shared" si="21"/>
        <v>=A305</v>
      </c>
      <c r="E154" t="str">
        <f t="shared" si="22"/>
        <v>=A306</v>
      </c>
      <c r="F154">
        <f>A306</f>
        <v>0</v>
      </c>
      <c r="G154">
        <f>A307</f>
        <v>0</v>
      </c>
      <c r="H154" t="e">
        <f t="shared" si="23"/>
        <v>#VALUE!</v>
      </c>
      <c r="I154" t="e">
        <f t="shared" si="24"/>
        <v>#VALUE!</v>
      </c>
      <c r="J154" t="e">
        <f t="shared" si="25"/>
        <v>#VALUE!</v>
      </c>
    </row>
    <row r="155" spans="1:10" x14ac:dyDescent="0.35">
      <c r="A155" t="s">
        <v>2014</v>
      </c>
      <c r="B155">
        <f t="shared" si="26"/>
        <v>307</v>
      </c>
      <c r="C155">
        <f t="shared" si="20"/>
        <v>308</v>
      </c>
      <c r="D155" t="str">
        <f t="shared" si="21"/>
        <v>=A307</v>
      </c>
      <c r="E155" t="str">
        <f t="shared" si="22"/>
        <v>=A308</v>
      </c>
      <c r="F155">
        <f>A308</f>
        <v>0</v>
      </c>
      <c r="G155">
        <f>A309</f>
        <v>0</v>
      </c>
      <c r="H155" t="e">
        <f t="shared" si="23"/>
        <v>#VALUE!</v>
      </c>
      <c r="I155" t="e">
        <f t="shared" si="24"/>
        <v>#VALUE!</v>
      </c>
      <c r="J155" t="e">
        <f t="shared" si="25"/>
        <v>#VALUE!</v>
      </c>
    </row>
    <row r="156" spans="1:10" x14ac:dyDescent="0.35">
      <c r="A156" t="s">
        <v>2193</v>
      </c>
      <c r="B156">
        <f t="shared" si="26"/>
        <v>309</v>
      </c>
      <c r="C156">
        <f t="shared" si="20"/>
        <v>310</v>
      </c>
      <c r="D156" t="str">
        <f t="shared" si="21"/>
        <v>=A309</v>
      </c>
      <c r="E156" t="str">
        <f t="shared" si="22"/>
        <v>=A310</v>
      </c>
      <c r="F156">
        <f>A310</f>
        <v>0</v>
      </c>
      <c r="G156">
        <f>A311</f>
        <v>0</v>
      </c>
      <c r="H156" t="e">
        <f t="shared" si="23"/>
        <v>#VALUE!</v>
      </c>
      <c r="I156" t="e">
        <f t="shared" si="24"/>
        <v>#VALUE!</v>
      </c>
      <c r="J156" t="e">
        <f t="shared" si="25"/>
        <v>#VALUE!</v>
      </c>
    </row>
    <row r="157" spans="1:10" x14ac:dyDescent="0.35">
      <c r="A157" t="s">
        <v>2017</v>
      </c>
      <c r="B157">
        <f t="shared" si="26"/>
        <v>311</v>
      </c>
      <c r="C157">
        <f t="shared" si="20"/>
        <v>312</v>
      </c>
      <c r="D157" t="str">
        <f t="shared" si="21"/>
        <v>=A311</v>
      </c>
      <c r="E157" t="str">
        <f t="shared" si="22"/>
        <v>=A312</v>
      </c>
      <c r="F157">
        <f>A312</f>
        <v>0</v>
      </c>
      <c r="G157">
        <f>A313</f>
        <v>0</v>
      </c>
      <c r="H157" t="e">
        <f t="shared" si="23"/>
        <v>#VALUE!</v>
      </c>
      <c r="I157" t="e">
        <f t="shared" si="24"/>
        <v>#VALUE!</v>
      </c>
      <c r="J157" t="e">
        <f t="shared" si="25"/>
        <v>#VALUE!</v>
      </c>
    </row>
    <row r="158" spans="1:10" x14ac:dyDescent="0.35">
      <c r="A158" t="s">
        <v>2194</v>
      </c>
      <c r="B158">
        <f t="shared" si="26"/>
        <v>313</v>
      </c>
      <c r="C158">
        <f t="shared" si="20"/>
        <v>314</v>
      </c>
      <c r="D158" t="str">
        <f t="shared" si="21"/>
        <v>=A313</v>
      </c>
      <c r="E158" t="str">
        <f t="shared" si="22"/>
        <v>=A314</v>
      </c>
      <c r="F158">
        <f>A314</f>
        <v>0</v>
      </c>
      <c r="G158">
        <f>A315</f>
        <v>0</v>
      </c>
      <c r="H158" t="e">
        <f t="shared" si="23"/>
        <v>#VALUE!</v>
      </c>
      <c r="I158" t="e">
        <f t="shared" si="24"/>
        <v>#VALUE!</v>
      </c>
      <c r="J158" t="e">
        <f t="shared" si="25"/>
        <v>#VALUE!</v>
      </c>
    </row>
    <row r="159" spans="1:10" x14ac:dyDescent="0.35">
      <c r="A159" t="s">
        <v>2020</v>
      </c>
      <c r="B159">
        <f t="shared" si="26"/>
        <v>315</v>
      </c>
      <c r="C159">
        <f t="shared" si="20"/>
        <v>316</v>
      </c>
      <c r="D159" t="str">
        <f t="shared" si="21"/>
        <v>=A315</v>
      </c>
      <c r="E159" t="str">
        <f t="shared" si="22"/>
        <v>=A316</v>
      </c>
      <c r="F159">
        <f>A316</f>
        <v>0</v>
      </c>
      <c r="G159">
        <f>A317</f>
        <v>0</v>
      </c>
      <c r="H159" t="e">
        <f t="shared" si="23"/>
        <v>#VALUE!</v>
      </c>
      <c r="I159" t="e">
        <f t="shared" si="24"/>
        <v>#VALUE!</v>
      </c>
      <c r="J159" t="e">
        <f t="shared" si="25"/>
        <v>#VALUE!</v>
      </c>
    </row>
    <row r="160" spans="1:10" x14ac:dyDescent="0.35">
      <c r="A160" t="s">
        <v>2195</v>
      </c>
      <c r="B160">
        <f t="shared" si="26"/>
        <v>317</v>
      </c>
      <c r="C160">
        <f t="shared" si="20"/>
        <v>318</v>
      </c>
      <c r="D160" t="str">
        <f t="shared" si="21"/>
        <v>=A317</v>
      </c>
      <c r="E160" t="str">
        <f t="shared" si="22"/>
        <v>=A318</v>
      </c>
      <c r="F160">
        <f>A318</f>
        <v>0</v>
      </c>
      <c r="G160">
        <f>A319</f>
        <v>0</v>
      </c>
      <c r="H160" t="e">
        <f t="shared" si="23"/>
        <v>#VALUE!</v>
      </c>
      <c r="I160" t="e">
        <f t="shared" si="24"/>
        <v>#VALUE!</v>
      </c>
      <c r="J160" t="e">
        <f t="shared" si="25"/>
        <v>#VALUE!</v>
      </c>
    </row>
    <row r="161" spans="1:10" x14ac:dyDescent="0.35">
      <c r="A161" t="s">
        <v>1060</v>
      </c>
      <c r="B161">
        <f t="shared" si="26"/>
        <v>319</v>
      </c>
      <c r="C161">
        <f t="shared" si="20"/>
        <v>320</v>
      </c>
      <c r="D161" t="str">
        <f t="shared" si="21"/>
        <v>=A319</v>
      </c>
      <c r="E161" t="str">
        <f t="shared" si="22"/>
        <v>=A320</v>
      </c>
      <c r="F161">
        <f>A320</f>
        <v>0</v>
      </c>
      <c r="G161">
        <f>A321</f>
        <v>0</v>
      </c>
      <c r="H161" t="e">
        <f t="shared" si="23"/>
        <v>#VALUE!</v>
      </c>
      <c r="I161" t="e">
        <f t="shared" si="24"/>
        <v>#VALUE!</v>
      </c>
      <c r="J161" t="e">
        <f t="shared" si="25"/>
        <v>#VALUE!</v>
      </c>
    </row>
    <row r="162" spans="1:10" x14ac:dyDescent="0.35">
      <c r="A162" t="s">
        <v>2196</v>
      </c>
      <c r="B162">
        <f t="shared" si="26"/>
        <v>321</v>
      </c>
      <c r="C162">
        <f t="shared" si="20"/>
        <v>322</v>
      </c>
      <c r="D162" t="str">
        <f t="shared" si="21"/>
        <v>=A321</v>
      </c>
      <c r="E162" t="str">
        <f t="shared" si="22"/>
        <v>=A322</v>
      </c>
      <c r="F162">
        <f>A322</f>
        <v>0</v>
      </c>
      <c r="G162">
        <f>A323</f>
        <v>0</v>
      </c>
      <c r="H162" t="e">
        <f t="shared" si="23"/>
        <v>#VALUE!</v>
      </c>
      <c r="I162" t="e">
        <f t="shared" si="24"/>
        <v>#VALUE!</v>
      </c>
      <c r="J162" t="e">
        <f t="shared" si="25"/>
        <v>#VALUE!</v>
      </c>
    </row>
    <row r="163" spans="1:10" x14ac:dyDescent="0.35">
      <c r="A163" t="s">
        <v>2023</v>
      </c>
      <c r="B163">
        <f t="shared" si="26"/>
        <v>323</v>
      </c>
      <c r="C163">
        <f t="shared" si="20"/>
        <v>324</v>
      </c>
      <c r="D163" t="str">
        <f t="shared" si="21"/>
        <v>=A323</v>
      </c>
      <c r="E163" t="str">
        <f t="shared" si="22"/>
        <v>=A324</v>
      </c>
      <c r="F163">
        <f>A324</f>
        <v>0</v>
      </c>
      <c r="G163">
        <f>A325</f>
        <v>0</v>
      </c>
      <c r="H163" t="e">
        <f t="shared" si="23"/>
        <v>#VALUE!</v>
      </c>
      <c r="I163" t="e">
        <f t="shared" si="24"/>
        <v>#VALUE!</v>
      </c>
      <c r="J163" t="e">
        <f t="shared" si="25"/>
        <v>#VALUE!</v>
      </c>
    </row>
    <row r="164" spans="1:10" x14ac:dyDescent="0.35">
      <c r="A164" t="s">
        <v>2197</v>
      </c>
      <c r="B164">
        <f t="shared" si="26"/>
        <v>325</v>
      </c>
      <c r="C164">
        <f t="shared" si="20"/>
        <v>326</v>
      </c>
      <c r="D164" t="str">
        <f t="shared" si="21"/>
        <v>=A325</v>
      </c>
      <c r="E164" t="str">
        <f t="shared" si="22"/>
        <v>=A326</v>
      </c>
      <c r="F164">
        <f>A326</f>
        <v>0</v>
      </c>
      <c r="G164">
        <f>A327</f>
        <v>0</v>
      </c>
      <c r="H164" t="e">
        <f t="shared" si="23"/>
        <v>#VALUE!</v>
      </c>
      <c r="I164" t="e">
        <f t="shared" si="24"/>
        <v>#VALUE!</v>
      </c>
      <c r="J164" t="e">
        <f t="shared" si="25"/>
        <v>#VALUE!</v>
      </c>
    </row>
    <row r="165" spans="1:10" x14ac:dyDescent="0.35">
      <c r="A165" t="s">
        <v>2025</v>
      </c>
      <c r="B165">
        <f t="shared" si="26"/>
        <v>327</v>
      </c>
      <c r="C165">
        <f t="shared" si="20"/>
        <v>328</v>
      </c>
      <c r="D165" t="str">
        <f t="shared" si="21"/>
        <v>=A327</v>
      </c>
      <c r="E165" t="str">
        <f t="shared" si="22"/>
        <v>=A328</v>
      </c>
      <c r="F165">
        <f>A328</f>
        <v>0</v>
      </c>
      <c r="G165">
        <f>A329</f>
        <v>0</v>
      </c>
      <c r="H165" t="e">
        <f t="shared" si="23"/>
        <v>#VALUE!</v>
      </c>
      <c r="I165" t="e">
        <f t="shared" si="24"/>
        <v>#VALUE!</v>
      </c>
      <c r="J165" t="e">
        <f t="shared" si="25"/>
        <v>#VALUE!</v>
      </c>
    </row>
    <row r="166" spans="1:10" x14ac:dyDescent="0.35">
      <c r="A166" t="s">
        <v>2198</v>
      </c>
    </row>
    <row r="167" spans="1:10" x14ac:dyDescent="0.35">
      <c r="A167" t="s">
        <v>2106</v>
      </c>
    </row>
    <row r="168" spans="1:10" x14ac:dyDescent="0.35">
      <c r="A168" t="s">
        <v>2199</v>
      </c>
    </row>
    <row r="169" spans="1:10" x14ac:dyDescent="0.35">
      <c r="A169" t="s">
        <v>2030</v>
      </c>
    </row>
    <row r="170" spans="1:10" x14ac:dyDescent="0.35">
      <c r="A170" t="s">
        <v>2200</v>
      </c>
    </row>
    <row r="171" spans="1:10" x14ac:dyDescent="0.35">
      <c r="A171" t="s">
        <v>2108</v>
      </c>
    </row>
    <row r="172" spans="1:10" x14ac:dyDescent="0.35">
      <c r="A172" t="s">
        <v>2201</v>
      </c>
    </row>
    <row r="173" spans="1:10" x14ac:dyDescent="0.35">
      <c r="A173" t="s">
        <v>2035</v>
      </c>
    </row>
    <row r="174" spans="1:10" x14ac:dyDescent="0.35">
      <c r="A174" t="s">
        <v>2202</v>
      </c>
    </row>
    <row r="175" spans="1:10" x14ac:dyDescent="0.35">
      <c r="A175" t="s">
        <v>2037</v>
      </c>
    </row>
    <row r="176" spans="1:10" x14ac:dyDescent="0.35">
      <c r="A176" t="s">
        <v>2203</v>
      </c>
    </row>
    <row r="177" spans="1:1" x14ac:dyDescent="0.35">
      <c r="A177" t="s">
        <v>2039</v>
      </c>
    </row>
    <row r="178" spans="1:1" x14ac:dyDescent="0.35">
      <c r="A178" t="s">
        <v>2204</v>
      </c>
    </row>
    <row r="179" spans="1:1" x14ac:dyDescent="0.35">
      <c r="A179" t="s">
        <v>2041</v>
      </c>
    </row>
    <row r="180" spans="1:1" x14ac:dyDescent="0.35">
      <c r="A180" t="s">
        <v>2205</v>
      </c>
    </row>
    <row r="181" spans="1:1" x14ac:dyDescent="0.35">
      <c r="A181" t="s">
        <v>2044</v>
      </c>
    </row>
    <row r="182" spans="1:1" x14ac:dyDescent="0.35">
      <c r="A182" t="s">
        <v>2206</v>
      </c>
    </row>
    <row r="183" spans="1:1" x14ac:dyDescent="0.35">
      <c r="A183" t="s">
        <v>2046</v>
      </c>
    </row>
    <row r="184" spans="1:1" x14ac:dyDescent="0.35">
      <c r="A184" t="s">
        <v>2207</v>
      </c>
    </row>
    <row r="185" spans="1:1" x14ac:dyDescent="0.35">
      <c r="A185" t="s">
        <v>1066</v>
      </c>
    </row>
    <row r="186" spans="1:1" x14ac:dyDescent="0.35">
      <c r="A186" t="s">
        <v>2208</v>
      </c>
    </row>
    <row r="187" spans="1:1" x14ac:dyDescent="0.35">
      <c r="A187" t="s">
        <v>1067</v>
      </c>
    </row>
    <row r="188" spans="1:1" x14ac:dyDescent="0.35">
      <c r="A188" t="s">
        <v>2209</v>
      </c>
    </row>
    <row r="189" spans="1:1" x14ac:dyDescent="0.35">
      <c r="A189" t="s">
        <v>2050</v>
      </c>
    </row>
    <row r="190" spans="1:1" x14ac:dyDescent="0.35">
      <c r="A190" t="s">
        <v>2210</v>
      </c>
    </row>
    <row r="191" spans="1:1" x14ac:dyDescent="0.35">
      <c r="A191" t="s">
        <v>2052</v>
      </c>
    </row>
    <row r="192" spans="1:1" x14ac:dyDescent="0.35">
      <c r="A192" t="s">
        <v>2211</v>
      </c>
    </row>
    <row r="193" spans="1:1" x14ac:dyDescent="0.35">
      <c r="A193" t="s">
        <v>2055</v>
      </c>
    </row>
    <row r="194" spans="1:1" x14ac:dyDescent="0.35">
      <c r="A194" t="s">
        <v>2212</v>
      </c>
    </row>
    <row r="195" spans="1:1" x14ac:dyDescent="0.35">
      <c r="A195" t="s">
        <v>2057</v>
      </c>
    </row>
    <row r="196" spans="1:1" x14ac:dyDescent="0.35">
      <c r="A196" t="s">
        <v>2213</v>
      </c>
    </row>
    <row r="197" spans="1:1" x14ac:dyDescent="0.35">
      <c r="A197" t="s">
        <v>2059</v>
      </c>
    </row>
    <row r="198" spans="1:1" x14ac:dyDescent="0.35">
      <c r="A198" t="s">
        <v>2214</v>
      </c>
    </row>
    <row r="199" spans="1:1" x14ac:dyDescent="0.35">
      <c r="A199" t="s">
        <v>2062</v>
      </c>
    </row>
    <row r="200" spans="1:1" x14ac:dyDescent="0.35">
      <c r="A200" t="s">
        <v>2215</v>
      </c>
    </row>
    <row r="201" spans="1:1" x14ac:dyDescent="0.35">
      <c r="A201" t="s">
        <v>2064</v>
      </c>
    </row>
    <row r="202" spans="1:1" x14ac:dyDescent="0.35">
      <c r="A202" t="s">
        <v>2216</v>
      </c>
    </row>
    <row r="203" spans="1:1" x14ac:dyDescent="0.35">
      <c r="A203" t="s">
        <v>2113</v>
      </c>
    </row>
    <row r="204" spans="1:1" x14ac:dyDescent="0.35">
      <c r="A204" t="s">
        <v>2217</v>
      </c>
    </row>
    <row r="205" spans="1:1" x14ac:dyDescent="0.35">
      <c r="A205" t="s">
        <v>2070</v>
      </c>
    </row>
    <row r="206" spans="1:1" x14ac:dyDescent="0.35">
      <c r="A206" t="s">
        <v>2218</v>
      </c>
    </row>
    <row r="207" spans="1:1" x14ac:dyDescent="0.35">
      <c r="A207" t="s">
        <v>2072</v>
      </c>
    </row>
    <row r="208" spans="1:1" x14ac:dyDescent="0.35">
      <c r="A208" t="s">
        <v>2219</v>
      </c>
    </row>
    <row r="209" spans="1:1" x14ac:dyDescent="0.35">
      <c r="A209" t="s">
        <v>2115</v>
      </c>
    </row>
    <row r="210" spans="1:1" x14ac:dyDescent="0.35">
      <c r="A210" t="s">
        <v>2220</v>
      </c>
    </row>
    <row r="211" spans="1:1" x14ac:dyDescent="0.35">
      <c r="A211" t="s">
        <v>2079</v>
      </c>
    </row>
    <row r="212" spans="1:1" x14ac:dyDescent="0.35">
      <c r="A212" t="s">
        <v>2221</v>
      </c>
    </row>
    <row r="213" spans="1:1" x14ac:dyDescent="0.35">
      <c r="A213" t="s">
        <v>2081</v>
      </c>
    </row>
    <row r="214" spans="1:1" x14ac:dyDescent="0.35">
      <c r="A214" t="s">
        <v>2222</v>
      </c>
    </row>
    <row r="215" spans="1:1" x14ac:dyDescent="0.35">
      <c r="A215" t="s">
        <v>2083</v>
      </c>
    </row>
    <row r="216" spans="1:1" x14ac:dyDescent="0.35">
      <c r="A216" t="s">
        <v>2223</v>
      </c>
    </row>
    <row r="217" spans="1:1" x14ac:dyDescent="0.35">
      <c r="A217" t="s">
        <v>2085</v>
      </c>
    </row>
    <row r="218" spans="1:1" x14ac:dyDescent="0.35">
      <c r="A218" t="s">
        <v>2224</v>
      </c>
    </row>
    <row r="219" spans="1:1" x14ac:dyDescent="0.35">
      <c r="A219" t="s">
        <v>643</v>
      </c>
    </row>
    <row r="220" spans="1:1" x14ac:dyDescent="0.35">
      <c r="A220" t="s">
        <v>2225</v>
      </c>
    </row>
    <row r="221" spans="1:1" x14ac:dyDescent="0.35">
      <c r="A221" t="s">
        <v>2088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Papers</vt:lpstr>
      <vt:lpstr>RAW</vt:lpstr>
      <vt:lpstr>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2023-08-21T00:57:14Z</dcterms:created>
  <dcterms:modified xsi:type="dcterms:W3CDTF">2023-08-22T09:04:10Z</dcterms:modified>
</cp:coreProperties>
</file>