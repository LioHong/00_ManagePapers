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99_Papers\00_ManagePapers\Zotero\"/>
    </mc:Choice>
  </mc:AlternateContent>
  <xr:revisionPtr revIDLastSave="0" documentId="13_ncr:1_{DD58EAF5-4474-4100-A5B3-DBE507BC093D}" xr6:coauthVersionLast="47" xr6:coauthVersionMax="47" xr10:uidLastSave="{00000000-0000-0000-0000-000000000000}"/>
  <bookViews>
    <workbookView xWindow="-110" yWindow="-110" windowWidth="19420" windowHeight="10420" xr2:uid="{2790E8BD-B2E5-49F6-B70B-49F2F8538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97" i="1" l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 l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19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18" i="1"/>
  <c r="B60" i="1"/>
  <c r="B59" i="1"/>
  <c r="B58" i="1"/>
  <c r="B57" i="1"/>
  <c r="B8" i="1"/>
  <c r="B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6" i="1"/>
  <c r="B34" i="1"/>
  <c r="B33" i="1"/>
  <c r="B32" i="1"/>
  <c r="B31" i="1"/>
  <c r="B30" i="1"/>
  <c r="B29" i="1"/>
  <c r="B17" i="1"/>
  <c r="B16" i="1"/>
  <c r="B28" i="1"/>
  <c r="B15" i="1"/>
  <c r="B14" i="1"/>
  <c r="B27" i="1"/>
  <c r="B5" i="1"/>
  <c r="B13" i="1"/>
  <c r="B4" i="1"/>
  <c r="B3" i="1"/>
  <c r="B2" i="1"/>
  <c r="B26" i="1"/>
  <c r="B25" i="1"/>
  <c r="B24" i="1"/>
  <c r="B23" i="1"/>
  <c r="B12" i="1"/>
  <c r="B22" i="1"/>
  <c r="B11" i="1"/>
  <c r="B10" i="1"/>
  <c r="B21" i="1"/>
  <c r="B20" i="1"/>
  <c r="B9" i="1"/>
</calcChain>
</file>

<file path=xl/sharedStrings.xml><?xml version="1.0" encoding="utf-8"?>
<sst xmlns="http://schemas.openxmlformats.org/spreadsheetml/2006/main" count="566" uniqueCount="351">
  <si>
    <t>Mayer-Bacon</t>
  </si>
  <si>
    <t>Christopher</t>
  </si>
  <si>
    <t>Agboha</t>
  </si>
  <si>
    <t>Neyiasuo</t>
  </si>
  <si>
    <t>Muscalli</t>
  </si>
  <si>
    <t>Mickey</t>
  </si>
  <si>
    <t>Freeland</t>
  </si>
  <si>
    <t>Stephen</t>
  </si>
  <si>
    <t>Malyshev</t>
  </si>
  <si>
    <t>Denis A.</t>
  </si>
  <si>
    <t>Dhami</t>
  </si>
  <si>
    <t>Kirandeep</t>
  </si>
  <si>
    <t>Lavergne</t>
  </si>
  <si>
    <t>Thomas</t>
  </si>
  <si>
    <t>Chen</t>
  </si>
  <si>
    <t>Tingjian</t>
  </si>
  <si>
    <t>Dai</t>
  </si>
  <si>
    <t>Nan</t>
  </si>
  <si>
    <t>Foster</t>
  </si>
  <si>
    <t>Jeremy M.</t>
  </si>
  <si>
    <t>Corrêa</t>
  </si>
  <si>
    <t>Ivan R.</t>
  </si>
  <si>
    <t>Romesberg</t>
  </si>
  <si>
    <t>Floyd E.</t>
  </si>
  <si>
    <t>Feldman</t>
  </si>
  <si>
    <t>Aaron W.</t>
  </si>
  <si>
    <t>Dien</t>
  </si>
  <si>
    <t>Vivian T.</t>
  </si>
  <si>
    <t>Karadeema</t>
  </si>
  <si>
    <t>Rebekah J.</t>
  </si>
  <si>
    <t>Fischer</t>
  </si>
  <si>
    <t>Emil C.</t>
  </si>
  <si>
    <t>You</t>
  </si>
  <si>
    <t>Yanbo</t>
  </si>
  <si>
    <t>Anderson</t>
  </si>
  <si>
    <t>Brooke A.</t>
  </si>
  <si>
    <t>Krishnamurthy</t>
  </si>
  <si>
    <t>Ramanarayanan</t>
  </si>
  <si>
    <t>Jason S.</t>
  </si>
  <si>
    <t>Li</t>
  </si>
  <si>
    <t>Lingjun</t>
  </si>
  <si>
    <t>Holcomb</t>
  </si>
  <si>
    <t>Matthew</t>
  </si>
  <si>
    <t>Dwyer</t>
  </si>
  <si>
    <t>Tammy J.</t>
  </si>
  <si>
    <t>Liu</t>
  </si>
  <si>
    <t>Ruiwu</t>
  </si>
  <si>
    <t>Lam</t>
  </si>
  <si>
    <t>Kit S.</t>
  </si>
  <si>
    <t>Yang</t>
  </si>
  <si>
    <t>Zunyi</t>
  </si>
  <si>
    <t>Fei</t>
  </si>
  <si>
    <t>Alvarado</t>
  </si>
  <si>
    <t>J. Brian</t>
  </si>
  <si>
    <t>Benner</t>
  </si>
  <si>
    <t>Steven A.</t>
  </si>
  <si>
    <t>Hoshika</t>
  </si>
  <si>
    <t>Shuichi</t>
  </si>
  <si>
    <t>Leal</t>
  </si>
  <si>
    <t>Nicole A.</t>
  </si>
  <si>
    <t>Kim</t>
  </si>
  <si>
    <t>Myong-Jung</t>
  </si>
  <si>
    <t>Myong-Sang</t>
  </si>
  <si>
    <t>Karalkar</t>
  </si>
  <si>
    <t>Nilesh B.</t>
  </si>
  <si>
    <t>Hyo-Joong</t>
  </si>
  <si>
    <t>Bates</t>
  </si>
  <si>
    <t>Alison M.</t>
  </si>
  <si>
    <t>Watkins</t>
  </si>
  <si>
    <t>Norman E.</t>
  </si>
  <si>
    <t>SantaLucia</t>
  </si>
  <si>
    <t>Holly A.</t>
  </si>
  <si>
    <t>Meyer</t>
  </si>
  <si>
    <t>Adam J.</t>
  </si>
  <si>
    <t>DasGupta</t>
  </si>
  <si>
    <t>Saurja</t>
  </si>
  <si>
    <t>Piccirilli</t>
  </si>
  <si>
    <t>Joseph A.</t>
  </si>
  <si>
    <t>Ellington</t>
  </si>
  <si>
    <t>Andrew D.</t>
  </si>
  <si>
    <t>John</t>
  </si>
  <si>
    <t>Georgiadis</t>
  </si>
  <si>
    <t>Millie M.</t>
  </si>
  <si>
    <t>Merritt</t>
  </si>
  <si>
    <t>Kristen K.</t>
  </si>
  <si>
    <t>Bradley</t>
  </si>
  <si>
    <t>Kevin M.</t>
  </si>
  <si>
    <t>Hutter</t>
  </si>
  <si>
    <t>Daniel</t>
  </si>
  <si>
    <t>Matsuura</t>
  </si>
  <si>
    <t>Mariko F.</t>
  </si>
  <si>
    <t>Rowold</t>
  </si>
  <si>
    <t>Diane J.</t>
  </si>
  <si>
    <t>Shim</t>
  </si>
  <si>
    <t>Hyunjin</t>
  </si>
  <si>
    <t>Sleator</t>
  </si>
  <si>
    <t>Roy D.</t>
  </si>
  <si>
    <t>Kimoto</t>
  </si>
  <si>
    <t>Michiko</t>
  </si>
  <si>
    <t>Hirao</t>
  </si>
  <si>
    <t>Ichiro</t>
  </si>
  <si>
    <t>Chaput</t>
  </si>
  <si>
    <t>John C</t>
  </si>
  <si>
    <t>Weaver</t>
  </si>
  <si>
    <t>Janelle</t>
  </si>
  <si>
    <t>Denis A</t>
  </si>
  <si>
    <t>Floyd E</t>
  </si>
  <si>
    <t>Zhang</t>
  </si>
  <si>
    <t>Yorke</t>
  </si>
  <si>
    <t>Ptacin</t>
  </si>
  <si>
    <t>Jerod L.</t>
  </si>
  <si>
    <t>Aerni</t>
  </si>
  <si>
    <t>Hans R.</t>
  </si>
  <si>
    <t>Caffaro</t>
  </si>
  <si>
    <t>Carolina E.</t>
  </si>
  <si>
    <t>San Jose</t>
  </si>
  <si>
    <t>Kristine</t>
  </si>
  <si>
    <t>Turner</t>
  </si>
  <si>
    <t>Court R.</t>
  </si>
  <si>
    <t>Lamb</t>
  </si>
  <si>
    <t>Brian M.</t>
  </si>
  <si>
    <t>Zhou</t>
  </si>
  <si>
    <t>Anne Xiaozhou</t>
  </si>
  <si>
    <t>Špaček</t>
  </si>
  <si>
    <t>Jan</t>
  </si>
  <si>
    <t>Fojta</t>
  </si>
  <si>
    <t>Miroslav</t>
  </si>
  <si>
    <t>Ledbetter</t>
  </si>
  <si>
    <t>Michael P.</t>
  </si>
  <si>
    <t>Craig</t>
  </si>
  <si>
    <t>Jonathan M.</t>
  </si>
  <si>
    <t>Noakes</t>
  </si>
  <si>
    <t>Matthew T.</t>
  </si>
  <si>
    <t>Hwanhee C.</t>
  </si>
  <si>
    <t>Abell</t>
  </si>
  <si>
    <t>Sarah J.</t>
  </si>
  <si>
    <t>Huang</t>
  </si>
  <si>
    <t>Jesse R.</t>
  </si>
  <si>
    <t>Gundlach</t>
  </si>
  <si>
    <t>Jens H.</t>
  </si>
  <si>
    <t>Ostrov</t>
  </si>
  <si>
    <t>Nili</t>
  </si>
  <si>
    <t>Nyerges</t>
  </si>
  <si>
    <t>Akos</t>
  </si>
  <si>
    <t>Chiappino-Pepe</t>
  </si>
  <si>
    <t>Anush</t>
  </si>
  <si>
    <t>Rudolph</t>
  </si>
  <si>
    <t>Alexandra</t>
  </si>
  <si>
    <t>Baas-Thomas</t>
  </si>
  <si>
    <t>Maximilien</t>
  </si>
  <si>
    <t>Church</t>
  </si>
  <si>
    <t>George M.</t>
  </si>
  <si>
    <t>Seo</t>
  </si>
  <si>
    <t>Young Jun</t>
  </si>
  <si>
    <t>Ordoukhanian</t>
  </si>
  <si>
    <t>Phillip</t>
  </si>
  <si>
    <t>Hamashima</t>
  </si>
  <si>
    <t>Kiyofumi</t>
  </si>
  <si>
    <t>Soong</t>
  </si>
  <si>
    <t>Yun Ting</t>
  </si>
  <si>
    <t>Matsunaga</t>
  </si>
  <si>
    <t>Ken-ichiro</t>
  </si>
  <si>
    <t>Błażej</t>
  </si>
  <si>
    <t>Paweł</t>
  </si>
  <si>
    <t>Wnetrzak</t>
  </si>
  <si>
    <t>Małgorzata</t>
  </si>
  <si>
    <t>Mackiewicz</t>
  </si>
  <si>
    <t>Dorota</t>
  </si>
  <si>
    <t>Behera</t>
  </si>
  <si>
    <t>B.</t>
  </si>
  <si>
    <t>Das</t>
  </si>
  <si>
    <t>P.</t>
  </si>
  <si>
    <t>Jena</t>
  </si>
  <si>
    <t>N. R.</t>
  </si>
  <si>
    <t>Brown</t>
  </si>
  <si>
    <t>Sean M.</t>
  </si>
  <si>
    <t>Hopstaken</t>
  </si>
  <si>
    <t>Antonius J. P.</t>
  </si>
  <si>
    <t>Große Wichtrup</t>
  </si>
  <si>
    <t>Enno</t>
  </si>
  <si>
    <t>Jongkees</t>
  </si>
  <si>
    <t>Seino A. K.</t>
  </si>
  <si>
    <t>Mayer-Bacon, Christopher</t>
  </si>
  <si>
    <t>Agboha, Neyiasuo</t>
  </si>
  <si>
    <t>Muscalli, Mickey</t>
  </si>
  <si>
    <t>Freeland, Stephen</t>
  </si>
  <si>
    <t>Malyshev, Denis A.</t>
  </si>
  <si>
    <t>Dhami, Kirandeep</t>
  </si>
  <si>
    <t>Lavergne, Thomas</t>
  </si>
  <si>
    <t>Chen, Tingjian</t>
  </si>
  <si>
    <t>Dai, Nan</t>
  </si>
  <si>
    <t>Foster, Jeremy M.</t>
  </si>
  <si>
    <t>Corrêa, Ivan R.</t>
  </si>
  <si>
    <t>Romesberg, Floyd E.</t>
  </si>
  <si>
    <t>Feldman, Aaron W.</t>
  </si>
  <si>
    <t>Dien, Vivian T.</t>
  </si>
  <si>
    <t>Karadeema, Rebekah J.</t>
  </si>
  <si>
    <t>Fischer, Emil C.</t>
  </si>
  <si>
    <t>You, Yanbo</t>
  </si>
  <si>
    <t>Anderson, Brooke A.</t>
  </si>
  <si>
    <t>Krishnamurthy, Ramanarayanan</t>
  </si>
  <si>
    <t>Chen, Jason S.</t>
  </si>
  <si>
    <t>Li, Lingjun</t>
  </si>
  <si>
    <t>Holcomb, Matthew</t>
  </si>
  <si>
    <t>Dwyer, Tammy J.</t>
  </si>
  <si>
    <t>Liu, Ruiwu</t>
  </si>
  <si>
    <t>Lam, Kit S.</t>
  </si>
  <si>
    <t>Yang, Zunyi</t>
  </si>
  <si>
    <t>Chen, Fei</t>
  </si>
  <si>
    <t>Alvarado, J. Brian</t>
  </si>
  <si>
    <t>Benner, Steven A.</t>
  </si>
  <si>
    <t>Hoshika, Shuichi</t>
  </si>
  <si>
    <t>Leal, Nicole A.</t>
  </si>
  <si>
    <t>Kim, Myong-Jung</t>
  </si>
  <si>
    <t>Kim, Myong-Sang</t>
  </si>
  <si>
    <t>Karalkar, Nilesh B.</t>
  </si>
  <si>
    <t>Kim, Hyo-Joong</t>
  </si>
  <si>
    <t>Bates, Alison M.</t>
  </si>
  <si>
    <t>Watkins, Norman E.</t>
  </si>
  <si>
    <t>SantaLucia, Holly A.</t>
  </si>
  <si>
    <t>Meyer, Adam J.</t>
  </si>
  <si>
    <t>DasGupta, Saurja</t>
  </si>
  <si>
    <t>Piccirilli, Joseph A.</t>
  </si>
  <si>
    <t>Ellington, Andrew D.</t>
  </si>
  <si>
    <t>SantaLucia, John</t>
  </si>
  <si>
    <t>Georgiadis, Millie M.</t>
  </si>
  <si>
    <t>Merritt, Kristen K.</t>
  </si>
  <si>
    <t>Bradley, Kevin M.</t>
  </si>
  <si>
    <t>Hutter, Daniel</t>
  </si>
  <si>
    <t>Matsuura, Mariko F.</t>
  </si>
  <si>
    <t>Rowold, Diane J.</t>
  </si>
  <si>
    <t>Shim, Hyunjin</t>
  </si>
  <si>
    <t>Sleator, Roy D.</t>
  </si>
  <si>
    <t>Kimoto, Michiko</t>
  </si>
  <si>
    <t>Hirao, Ichiro</t>
  </si>
  <si>
    <t>Chaput, John C</t>
  </si>
  <si>
    <t>Weaver, Janelle</t>
  </si>
  <si>
    <t>Malyshev, Denis A</t>
  </si>
  <si>
    <t>Romesberg, Floyd E</t>
  </si>
  <si>
    <t>Zhang, Yorke</t>
  </si>
  <si>
    <t>Ptacin, Jerod L.</t>
  </si>
  <si>
    <t>Aerni, Hans R.</t>
  </si>
  <si>
    <t>Caffaro, Carolina E.</t>
  </si>
  <si>
    <t>San Jose, Kristine</t>
  </si>
  <si>
    <t>Turner, Court R.</t>
  </si>
  <si>
    <t>Lamb, Brian M.</t>
  </si>
  <si>
    <t>Zhou, Anne Xiaozhou</t>
  </si>
  <si>
    <t>Špaček, Jan</t>
  </si>
  <si>
    <t>Fojta, Miroslav</t>
  </si>
  <si>
    <t>Ledbetter, Michael P.</t>
  </si>
  <si>
    <t>Craig, Jonathan M.</t>
  </si>
  <si>
    <t>Noakes, Matthew T.</t>
  </si>
  <si>
    <t>Kim, Hwanhee C.</t>
  </si>
  <si>
    <t>Abell, Sarah J.</t>
  </si>
  <si>
    <t>Huang, Jesse R.</t>
  </si>
  <si>
    <t>Gundlach, Jens H.</t>
  </si>
  <si>
    <t>Ostrov, Nili</t>
  </si>
  <si>
    <t>Nyerges, Akos</t>
  </si>
  <si>
    <t>Chiappino-Pepe, Anush</t>
  </si>
  <si>
    <t>Rudolph, Alexandra</t>
  </si>
  <si>
    <t>Baas-Thomas, Maximilien</t>
  </si>
  <si>
    <t>Church, George M.</t>
  </si>
  <si>
    <t>Seo, Young Jun</t>
  </si>
  <si>
    <t>Ordoukhanian, Phillip</t>
  </si>
  <si>
    <t>Hamashima, Kiyofumi</t>
  </si>
  <si>
    <t>Soong, Yun Ting</t>
  </si>
  <si>
    <t>Matsunaga, Ken-ichiro</t>
  </si>
  <si>
    <t>Błażej, Paweł</t>
  </si>
  <si>
    <t>Wnetrzak, Małgorzata</t>
  </si>
  <si>
    <t>Mackiewicz, Dorota</t>
  </si>
  <si>
    <t>Mackiewicz, Paweł</t>
  </si>
  <si>
    <t>Behera, B.</t>
  </si>
  <si>
    <t>Das, P.</t>
  </si>
  <si>
    <t>Jena, N. R.</t>
  </si>
  <si>
    <t>Brown, Sean M.</t>
  </si>
  <si>
    <t>Hopstaken, Antonius J. P.</t>
  </si>
  <si>
    <t>Große Wichtrup, Enno</t>
  </si>
  <si>
    <t>Jongkees, Seino A. K.</t>
  </si>
  <si>
    <t>Email</t>
  </si>
  <si>
    <t>Homepage</t>
  </si>
  <si>
    <t>GS</t>
  </si>
  <si>
    <t>DDG</t>
  </si>
  <si>
    <t>https://www.scripps.edu/romesberg/</t>
  </si>
  <si>
    <t>(floyd@scripps.edu;floyd.e.romesberg@gmail.com</t>
  </si>
  <si>
    <t>lingjunlee@htu.edu.cn</t>
  </si>
  <si>
    <t>sbenner@firebirdbio.com;sbenner@ffame.org</t>
  </si>
  <si>
    <t>https://xenolis.com/about-us/</t>
  </si>
  <si>
    <t>Chee Min Chua</t>
  </si>
  <si>
    <t>https://www.linkedin.com/in/chee-min-chua-aa22741a6/?original_referer=https%3A%2F%2Fduckduckgo%2Ecom%2F&amp;originalSubdomain=sg;https://xenolis.com/about-us/</t>
  </si>
  <si>
    <t>Economics</t>
  </si>
  <si>
    <t>https://research.a-star.edu.sg/researcher/ichiro-hirao/</t>
  </si>
  <si>
    <t>ichiro.hirao@xenolis.com;ichiro@ibn.a-star.edu.sg</t>
  </si>
  <si>
    <t>https://freelandlab.umbc.edu/our-team/</t>
  </si>
  <si>
    <t>freelandlab@umbc.edu</t>
  </si>
  <si>
    <t>sbrown16@umbc.edu</t>
  </si>
  <si>
    <t>https://www.scripps.edu/faculty/krishnamurthy/</t>
  </si>
  <si>
    <t>rkrishna@scripps.edu</t>
  </si>
  <si>
    <t>Xenolis</t>
  </si>
  <si>
    <t>muscam3@rpi.edu</t>
  </si>
  <si>
    <t>rwliu@ucdavis.edu</t>
  </si>
  <si>
    <t>https://health.ucdavis.edu/biochem/faculty/liu/index.html</t>
  </si>
  <si>
    <t>kslam@ucdavis.edu</t>
  </si>
  <si>
    <t>https://basicscience.ucdmc.ucdavis.edu/lam_lab/;https://health.ucdavis.edu/biochem/faculty/lam/index.html</t>
  </si>
  <si>
    <t>http://www.ffame.org/zyang.php</t>
  </si>
  <si>
    <t>http://www.ffame.org/sbenner.php;http://www.firebirdbio.com/FirebirdProducts.aspx?fbp=3</t>
  </si>
  <si>
    <t>http://www.ffame.org/nleal.php</t>
  </si>
  <si>
    <t>http://ffame.org/nkaralkar.php</t>
  </si>
  <si>
    <t>http://www.ffame.org/hkim.php</t>
  </si>
  <si>
    <t>http://www.ffame.org/mkim.php</t>
  </si>
  <si>
    <t>https://scholar.google.com/citations?hl=en&amp;user=bIgP6toAAAAJ&amp;view_op=list_works&amp;sortby=pubdate</t>
  </si>
  <si>
    <t>sdasgupt@nd.edu</t>
  </si>
  <si>
    <t>https://sites.google.com/nd.edu/dasguptalab/;https://chemistry.nd.edu/people/saurja-dasgupta/</t>
  </si>
  <si>
    <t>https://chemistry.uchicago.edu/faculty/joseph-piccirilli</t>
  </si>
  <si>
    <t>jpicciri@uchicago.edu</t>
  </si>
  <si>
    <t>https://molecularbiosci.utexas.edu/directory/andrew-ellington</t>
  </si>
  <si>
    <t>andy.ellington@austin.utexas.edu</t>
  </si>
  <si>
    <t>jsl@chem.wayne.edu</t>
  </si>
  <si>
    <t>https://clasprofiles.wayne.edu/profile/aa1507</t>
  </si>
  <si>
    <t>https://medicine.iu.edu/faculty/10591/georgiadis-millie</t>
  </si>
  <si>
    <t>mgeorgia@iu.edu</t>
  </si>
  <si>
    <t>https://scholar.google.com/citations?user=dLQNZCcAAAAJ</t>
  </si>
  <si>
    <t>https://csm.fresnostate.edu/about/directory/biology/shim-hyunjin.html</t>
  </si>
  <si>
    <t>shim@csufresno.edu</t>
  </si>
  <si>
    <t>roy.sleator@cit.ie</t>
  </si>
  <si>
    <t>https://www.cit.ie/biologicalsciences.staff.roysleator</t>
  </si>
  <si>
    <t>https://chaputlab.com/about-john/</t>
  </si>
  <si>
    <t>jchaput@uci.edu;john.chaput@asu.edu</t>
  </si>
  <si>
    <t>http://www.janelleweaver.com/</t>
  </si>
  <si>
    <t>Dupe</t>
  </si>
  <si>
    <t>https://www.januxrx.com/team/carolina-caffaro-ph-d/</t>
  </si>
  <si>
    <t>j.h.spacek@ibp.cz</t>
  </si>
  <si>
    <t>fojta@ibp.cz</t>
  </si>
  <si>
    <t>https://www.ibp.cz/en/research/departments/biophysical-chemistry-and-molecular-oncology/staff/12</t>
  </si>
  <si>
    <t>https://phys.washington.edu/people/sarah-abell</t>
  </si>
  <si>
    <t>saabell@uw.edu</t>
  </si>
  <si>
    <t>https://faculty.washington.edu/gundlach/</t>
  </si>
  <si>
    <t>nili_ostrov@hms.harvard.edu</t>
  </si>
  <si>
    <t>https://www.convergentresearch.org/nili-ostrov</t>
  </si>
  <si>
    <t>https://churchlab.hms.harvard.edu/church-lab-member/akos-nyerges</t>
  </si>
  <si>
    <t>Akos_Nyerges@hms.harvard.edu</t>
  </si>
  <si>
    <t>https://www.anushchiappinopepe.com/</t>
  </si>
  <si>
    <t>https://churchlab.hms.harvard.edu/church-lab-member/maximilien-baas-thomas</t>
  </si>
  <si>
    <t>maximilien@g.harvard.edu</t>
  </si>
  <si>
    <t>https://churchlab.hms.harvard.edu/church-lab-member/george-church</t>
  </si>
  <si>
    <t>gc@harvard.edu</t>
  </si>
  <si>
    <t>yseo@jbnu.ac.kr</t>
  </si>
  <si>
    <t>https://sites.google.com/site/youngjungroup/contact-us?authuser=0</t>
  </si>
  <si>
    <t>https://scholar.google.com/citations?user=LE7Yz2sAAAAJ</t>
  </si>
  <si>
    <t>pawel.blazej@uwr.edu.pl</t>
  </si>
  <si>
    <t>https://www.biotech.uni.wroc.pl/pracownik/pawel-blazej/</t>
  </si>
  <si>
    <t>nrjena@iiitdmj.ac.in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</si>
</sst>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tes.google.com/nd.edu/dasguptalab/;https:/chemistry.nd.edu/people/saurja-dasgupta/" TargetMode="External"/><Relationship Id="rId13" Type="http://schemas.openxmlformats.org/officeDocument/2006/relationships/hyperlink" Target="mailto:shim@csufresno.edu" TargetMode="External"/><Relationship Id="rId18" Type="http://schemas.openxmlformats.org/officeDocument/2006/relationships/hyperlink" Target="mailto:nili_ostrov@hms.harvard.edu" TargetMode="External"/><Relationship Id="rId3" Type="http://schemas.openxmlformats.org/officeDocument/2006/relationships/hyperlink" Target="https://www.linkedin.com/in/chee-min-chua-aa22741a6/?original_referer=https%3A%2F%2Fduckduckgo%2Ecom%2F&amp;originalSubdomain=sg;https://xenolis.com/about-us/" TargetMode="External"/><Relationship Id="rId21" Type="http://schemas.openxmlformats.org/officeDocument/2006/relationships/hyperlink" Target="mailto:gc@harvard.edu" TargetMode="External"/><Relationship Id="rId7" Type="http://schemas.openxmlformats.org/officeDocument/2006/relationships/hyperlink" Target="mailto:sdasgupt@nd.edu" TargetMode="External"/><Relationship Id="rId12" Type="http://schemas.openxmlformats.org/officeDocument/2006/relationships/hyperlink" Target="mailto:mgeorgia@iu.edu" TargetMode="External"/><Relationship Id="rId17" Type="http://schemas.openxmlformats.org/officeDocument/2006/relationships/hyperlink" Target="mailto:saabell@uw.edu" TargetMode="External"/><Relationship Id="rId2" Type="http://schemas.openxmlformats.org/officeDocument/2006/relationships/hyperlink" Target="mailto:sbenner@firebirdbio.com;sbenner@ffame.org" TargetMode="External"/><Relationship Id="rId16" Type="http://schemas.openxmlformats.org/officeDocument/2006/relationships/hyperlink" Target="mailto:fojta@ibp.cz" TargetMode="External"/><Relationship Id="rId20" Type="http://schemas.openxmlformats.org/officeDocument/2006/relationships/hyperlink" Target="mailto:maximilien@g.harvard.edu" TargetMode="External"/><Relationship Id="rId1" Type="http://schemas.openxmlformats.org/officeDocument/2006/relationships/hyperlink" Target="mailto:floyd.e.romesberg@gmail.com" TargetMode="External"/><Relationship Id="rId6" Type="http://schemas.openxmlformats.org/officeDocument/2006/relationships/hyperlink" Target="http://www.ffame.org/sbenner.php;http:/www.firebirdbio.com/FirebirdProducts.aspx?fbp=3" TargetMode="External"/><Relationship Id="rId11" Type="http://schemas.openxmlformats.org/officeDocument/2006/relationships/hyperlink" Target="mailto:jsl@chem.wayne.edu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basicscience.ucdmc.ucdavis.edu/lam_lab/;https:/health.ucdavis.edu/biochem/faculty/lam/index.html" TargetMode="External"/><Relationship Id="rId15" Type="http://schemas.openxmlformats.org/officeDocument/2006/relationships/hyperlink" Target="mailto:j.h.spacek@ibp.cz" TargetMode="External"/><Relationship Id="rId23" Type="http://schemas.openxmlformats.org/officeDocument/2006/relationships/hyperlink" Target="mailto:nrjena@iiitdmj.ac.in" TargetMode="External"/><Relationship Id="rId10" Type="http://schemas.openxmlformats.org/officeDocument/2006/relationships/hyperlink" Target="mailto:andy.ellington@austin.utexas.edu" TargetMode="External"/><Relationship Id="rId19" Type="http://schemas.openxmlformats.org/officeDocument/2006/relationships/hyperlink" Target="mailto:Akos_Nyerges@hms.harvard.edu" TargetMode="External"/><Relationship Id="rId4" Type="http://schemas.openxmlformats.org/officeDocument/2006/relationships/hyperlink" Target="mailto:ichiro.hirao@xenolis.com;ichiro@ibn.a-star.edu.sg" TargetMode="External"/><Relationship Id="rId9" Type="http://schemas.openxmlformats.org/officeDocument/2006/relationships/hyperlink" Target="mailto:jpicciri@uchicago.edu" TargetMode="External"/><Relationship Id="rId14" Type="http://schemas.openxmlformats.org/officeDocument/2006/relationships/hyperlink" Target="mailto:jchaput@uci.edu;john.chaput@asu.edu" TargetMode="External"/><Relationship Id="rId22" Type="http://schemas.openxmlformats.org/officeDocument/2006/relationships/hyperlink" Target="mailto:yseo@jbnu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9C46-D8AF-440B-8F23-29CFF5B30288}">
  <dimension ref="A1:L128"/>
  <sheetViews>
    <sheetView tabSelected="1" topLeftCell="B1" workbookViewId="0">
      <pane ySplit="1" topLeftCell="A2" activePane="bottomLeft" state="frozen"/>
      <selection pane="bottomLeft" activeCell="L82" sqref="L82"/>
    </sheetView>
  </sheetViews>
  <sheetFormatPr defaultRowHeight="14.5" x14ac:dyDescent="0.35"/>
  <cols>
    <col min="1" max="1" width="23.08984375" customWidth="1"/>
    <col min="6" max="6" width="31.6328125" customWidth="1"/>
    <col min="7" max="7" width="4.90625" customWidth="1"/>
    <col min="9" max="10" width="21.7265625" customWidth="1"/>
  </cols>
  <sheetData>
    <row r="1" spans="1:12" x14ac:dyDescent="0.35">
      <c r="G1" s="2" t="s">
        <v>280</v>
      </c>
      <c r="H1" s="2" t="s">
        <v>281</v>
      </c>
      <c r="I1" s="2" t="s">
        <v>278</v>
      </c>
      <c r="J1" s="2" t="s">
        <v>279</v>
      </c>
    </row>
    <row r="2" spans="1:12" x14ac:dyDescent="0.35">
      <c r="A2" t="s">
        <v>182</v>
      </c>
      <c r="B2">
        <f t="shared" ref="B2:B33" si="0">COUNTIF(A:A,C2)</f>
        <v>8</v>
      </c>
      <c r="C2" t="s">
        <v>193</v>
      </c>
      <c r="D2" t="s">
        <v>23</v>
      </c>
      <c r="E2" t="s">
        <v>22</v>
      </c>
      <c r="F2" t="str">
        <f>D2&amp;" "&amp;E2</f>
        <v>Floyd E. Romesberg</v>
      </c>
      <c r="G2" s="1" t="str">
        <f>HYPERLINK(_xlfn.CONCAT("https://scholar.google.com/scholar?hl=en&amp;as_sdt=0%2C5&amp;q=",SUBSTITUTE(F2," ","+"),"&amp;btnG="),LEFT(F2,5))</f>
        <v>Floyd</v>
      </c>
      <c r="H2" s="1" t="str">
        <f>HYPERLINK(_xlfn.CONCAT("https://duckduckgo.com/?q=",SUBSTITUTE(F2," ","+")),LEFT(F2,10))</f>
        <v>Floyd E. R</v>
      </c>
      <c r="I2" s="1" t="s">
        <v>283</v>
      </c>
      <c r="J2" t="s">
        <v>282</v>
      </c>
      <c r="K2" t="s">
        <v>22</v>
      </c>
      <c r="L2">
        <v>1</v>
      </c>
    </row>
    <row r="3" spans="1:12" x14ac:dyDescent="0.35">
      <c r="A3" t="s">
        <v>183</v>
      </c>
      <c r="B3">
        <f t="shared" si="0"/>
        <v>4</v>
      </c>
      <c r="C3" t="s">
        <v>194</v>
      </c>
      <c r="D3" t="s">
        <v>25</v>
      </c>
      <c r="E3" t="s">
        <v>24</v>
      </c>
      <c r="F3" t="str">
        <f t="shared" ref="F3:F66" si="1">D3&amp;" "&amp;E3</f>
        <v>Aaron W. Feldman</v>
      </c>
      <c r="G3" s="1" t="str">
        <f t="shared" ref="G3:G66" si="2">HYPERLINK(_xlfn.CONCAT("https://scholar.google.com/scholar?hl=en&amp;as_sdt=0%2C5&amp;q=",SUBSTITUTE(F3," ","+"),"&amp;btnG="),LEFT(F3,5))</f>
        <v>Aaron</v>
      </c>
      <c r="H3" s="1" t="str">
        <f t="shared" ref="H3:H66" si="3">HYPERLINK(_xlfn.CONCAT("https://duckduckgo.com/?q=",SUBSTITUTE(F3," ","+")),LEFT(F3,10))</f>
        <v>Aaron W. F</v>
      </c>
      <c r="K3" t="s">
        <v>22</v>
      </c>
    </row>
    <row r="4" spans="1:12" x14ac:dyDescent="0.35">
      <c r="A4" t="s">
        <v>184</v>
      </c>
      <c r="B4">
        <f t="shared" si="0"/>
        <v>3</v>
      </c>
      <c r="C4" t="s">
        <v>195</v>
      </c>
      <c r="D4" t="s">
        <v>27</v>
      </c>
      <c r="E4" t="s">
        <v>26</v>
      </c>
      <c r="F4" t="str">
        <f t="shared" si="1"/>
        <v>Vivian T. Dien</v>
      </c>
      <c r="G4" s="1" t="str">
        <f t="shared" si="2"/>
        <v>Vivia</v>
      </c>
      <c r="H4" s="1" t="str">
        <f t="shared" si="3"/>
        <v xml:space="preserve">Vivian T. </v>
      </c>
      <c r="K4" t="s">
        <v>22</v>
      </c>
    </row>
    <row r="5" spans="1:12" x14ac:dyDescent="0.35">
      <c r="A5" t="s">
        <v>185</v>
      </c>
      <c r="B5">
        <f t="shared" si="0"/>
        <v>3</v>
      </c>
      <c r="C5" t="s">
        <v>197</v>
      </c>
      <c r="D5" t="s">
        <v>31</v>
      </c>
      <c r="E5" t="s">
        <v>30</v>
      </c>
      <c r="F5" t="str">
        <f t="shared" si="1"/>
        <v>Emil C. Fischer</v>
      </c>
      <c r="G5" s="1" t="str">
        <f t="shared" si="2"/>
        <v xml:space="preserve">Emil </v>
      </c>
      <c r="H5" s="1" t="str">
        <f t="shared" si="3"/>
        <v>Emil C. Fi</v>
      </c>
      <c r="K5" t="s">
        <v>22</v>
      </c>
    </row>
    <row r="6" spans="1:12" x14ac:dyDescent="0.35">
      <c r="A6" t="s">
        <v>186</v>
      </c>
      <c r="B6">
        <f t="shared" si="0"/>
        <v>3</v>
      </c>
      <c r="C6" t="s">
        <v>210</v>
      </c>
      <c r="D6" t="s">
        <v>55</v>
      </c>
      <c r="E6" t="s">
        <v>54</v>
      </c>
      <c r="F6" t="str">
        <f t="shared" si="1"/>
        <v>Steven A. Benner</v>
      </c>
      <c r="G6" s="1" t="str">
        <f t="shared" si="2"/>
        <v>Steve</v>
      </c>
      <c r="H6" s="1" t="str">
        <f t="shared" si="3"/>
        <v xml:space="preserve">Steven A. </v>
      </c>
      <c r="I6" s="1" t="s">
        <v>285</v>
      </c>
      <c r="J6" s="1" t="s">
        <v>304</v>
      </c>
      <c r="K6" t="s">
        <v>54</v>
      </c>
      <c r="L6">
        <v>1</v>
      </c>
    </row>
    <row r="7" spans="1:12" x14ac:dyDescent="0.35">
      <c r="A7" t="s">
        <v>187</v>
      </c>
      <c r="B7">
        <f t="shared" si="0"/>
        <v>3</v>
      </c>
      <c r="C7" t="s">
        <v>233</v>
      </c>
      <c r="D7" t="s">
        <v>98</v>
      </c>
      <c r="E7" t="s">
        <v>97</v>
      </c>
      <c r="F7" t="str">
        <f t="shared" si="1"/>
        <v>Michiko Kimoto</v>
      </c>
      <c r="G7" s="1" t="str">
        <f t="shared" si="2"/>
        <v>Michi</v>
      </c>
      <c r="H7" s="1" t="str">
        <f t="shared" si="3"/>
        <v>Michiko Ki</v>
      </c>
      <c r="J7" t="s">
        <v>286</v>
      </c>
      <c r="K7" t="s">
        <v>297</v>
      </c>
    </row>
    <row r="8" spans="1:12" x14ac:dyDescent="0.35">
      <c r="A8" t="s">
        <v>188</v>
      </c>
      <c r="B8">
        <f t="shared" si="0"/>
        <v>3</v>
      </c>
      <c r="C8" t="s">
        <v>234</v>
      </c>
      <c r="D8" t="s">
        <v>100</v>
      </c>
      <c r="E8" t="s">
        <v>99</v>
      </c>
      <c r="F8" t="str">
        <f t="shared" si="1"/>
        <v>Ichiro Hirao</v>
      </c>
      <c r="G8" s="1" t="str">
        <f t="shared" si="2"/>
        <v>Ichir</v>
      </c>
      <c r="H8" s="1" t="str">
        <f t="shared" si="3"/>
        <v>Ichiro Hir</v>
      </c>
      <c r="I8" s="1" t="s">
        <v>291</v>
      </c>
      <c r="J8" t="s">
        <v>290</v>
      </c>
      <c r="K8" t="s">
        <v>297</v>
      </c>
      <c r="L8">
        <v>1</v>
      </c>
    </row>
    <row r="9" spans="1:12" x14ac:dyDescent="0.35">
      <c r="A9" t="s">
        <v>189</v>
      </c>
      <c r="B9">
        <f t="shared" si="0"/>
        <v>2</v>
      </c>
      <c r="C9" t="s">
        <v>182</v>
      </c>
      <c r="D9" t="s">
        <v>1</v>
      </c>
      <c r="E9" t="s">
        <v>0</v>
      </c>
      <c r="F9" t="str">
        <f t="shared" si="1"/>
        <v>Christopher Mayer-Bacon</v>
      </c>
      <c r="G9" s="1" t="str">
        <f t="shared" si="2"/>
        <v>Chris</v>
      </c>
      <c r="H9" s="1" t="str">
        <f t="shared" si="3"/>
        <v>Christophe</v>
      </c>
      <c r="K9" t="s">
        <v>6</v>
      </c>
    </row>
    <row r="10" spans="1:12" x14ac:dyDescent="0.35">
      <c r="A10" t="s">
        <v>190</v>
      </c>
      <c r="B10">
        <f t="shared" si="0"/>
        <v>2</v>
      </c>
      <c r="C10" t="s">
        <v>185</v>
      </c>
      <c r="D10" t="s">
        <v>7</v>
      </c>
      <c r="E10" t="s">
        <v>6</v>
      </c>
      <c r="F10" t="str">
        <f t="shared" si="1"/>
        <v>Stephen Freeland</v>
      </c>
      <c r="G10" s="1" t="str">
        <f t="shared" si="2"/>
        <v>Steph</v>
      </c>
      <c r="H10" s="1" t="str">
        <f t="shared" si="3"/>
        <v>Stephen Fr</v>
      </c>
      <c r="I10" t="s">
        <v>293</v>
      </c>
      <c r="J10" t="s">
        <v>292</v>
      </c>
      <c r="K10" t="s">
        <v>6</v>
      </c>
      <c r="L10">
        <v>1</v>
      </c>
    </row>
    <row r="11" spans="1:12" x14ac:dyDescent="0.35">
      <c r="A11" t="s">
        <v>191</v>
      </c>
      <c r="B11">
        <f t="shared" si="0"/>
        <v>2</v>
      </c>
      <c r="C11" t="s">
        <v>186</v>
      </c>
      <c r="D11" t="s">
        <v>9</v>
      </c>
      <c r="E11" t="s">
        <v>8</v>
      </c>
      <c r="F11" t="str">
        <f t="shared" si="1"/>
        <v>Denis A. Malyshev</v>
      </c>
      <c r="G11" s="1" t="str">
        <f t="shared" si="2"/>
        <v>Denis</v>
      </c>
      <c r="H11" s="1" t="str">
        <f t="shared" si="3"/>
        <v>Denis A. M</v>
      </c>
      <c r="K11" t="s">
        <v>22</v>
      </c>
    </row>
    <row r="12" spans="1:12" x14ac:dyDescent="0.35">
      <c r="A12" t="s">
        <v>192</v>
      </c>
      <c r="B12">
        <f t="shared" si="0"/>
        <v>2</v>
      </c>
      <c r="C12" t="s">
        <v>188</v>
      </c>
      <c r="D12" t="s">
        <v>13</v>
      </c>
      <c r="E12" t="s">
        <v>12</v>
      </c>
      <c r="F12" t="str">
        <f t="shared" si="1"/>
        <v>Thomas Lavergne</v>
      </c>
      <c r="G12" s="1" t="str">
        <f t="shared" si="2"/>
        <v>Thoma</v>
      </c>
      <c r="H12" s="1" t="str">
        <f t="shared" si="3"/>
        <v>Thomas Lav</v>
      </c>
      <c r="I12" s="1"/>
      <c r="K12" t="s">
        <v>22</v>
      </c>
    </row>
    <row r="13" spans="1:12" x14ac:dyDescent="0.35">
      <c r="A13" t="s">
        <v>193</v>
      </c>
      <c r="B13">
        <f t="shared" si="0"/>
        <v>2</v>
      </c>
      <c r="C13" t="s">
        <v>196</v>
      </c>
      <c r="D13" t="s">
        <v>29</v>
      </c>
      <c r="E13" t="s">
        <v>28</v>
      </c>
      <c r="F13" t="str">
        <f t="shared" si="1"/>
        <v>Rebekah J. Karadeema</v>
      </c>
      <c r="G13" s="1" t="str">
        <f t="shared" si="2"/>
        <v>Rebek</v>
      </c>
      <c r="H13" s="1" t="str">
        <f t="shared" si="3"/>
        <v>Rebekah J.</v>
      </c>
      <c r="K13" t="s">
        <v>22</v>
      </c>
    </row>
    <row r="14" spans="1:12" x14ac:dyDescent="0.35">
      <c r="A14" t="s">
        <v>194</v>
      </c>
      <c r="B14">
        <f t="shared" si="0"/>
        <v>2</v>
      </c>
      <c r="C14" t="s">
        <v>199</v>
      </c>
      <c r="D14" t="s">
        <v>35</v>
      </c>
      <c r="E14" t="s">
        <v>34</v>
      </c>
      <c r="F14" t="str">
        <f t="shared" si="1"/>
        <v>Brooke A. Anderson</v>
      </c>
      <c r="G14" s="1" t="str">
        <f t="shared" si="2"/>
        <v>Brook</v>
      </c>
      <c r="H14" s="1" t="str">
        <f t="shared" si="3"/>
        <v xml:space="preserve">Brooke A. </v>
      </c>
      <c r="K14" t="s">
        <v>22</v>
      </c>
    </row>
    <row r="15" spans="1:12" x14ac:dyDescent="0.35">
      <c r="A15" t="s">
        <v>195</v>
      </c>
      <c r="B15">
        <f t="shared" si="0"/>
        <v>2</v>
      </c>
      <c r="C15" t="s">
        <v>200</v>
      </c>
      <c r="D15" t="s">
        <v>37</v>
      </c>
      <c r="E15" t="s">
        <v>36</v>
      </c>
      <c r="F15" t="str">
        <f t="shared" si="1"/>
        <v>Ramanarayanan Krishnamurthy</v>
      </c>
      <c r="G15" s="1" t="str">
        <f t="shared" si="2"/>
        <v>Raman</v>
      </c>
      <c r="H15" s="1" t="str">
        <f t="shared" si="3"/>
        <v>Ramanaraya</v>
      </c>
      <c r="I15" t="s">
        <v>296</v>
      </c>
      <c r="J15" t="s">
        <v>295</v>
      </c>
      <c r="K15" s="3" t="s">
        <v>22</v>
      </c>
    </row>
    <row r="16" spans="1:12" x14ac:dyDescent="0.35">
      <c r="A16" t="s">
        <v>196</v>
      </c>
      <c r="B16">
        <f t="shared" si="0"/>
        <v>2</v>
      </c>
      <c r="C16" t="s">
        <v>202</v>
      </c>
      <c r="D16" t="s">
        <v>40</v>
      </c>
      <c r="E16" t="s">
        <v>39</v>
      </c>
      <c r="F16" t="str">
        <f t="shared" si="1"/>
        <v>Lingjun Li</v>
      </c>
      <c r="G16" s="1" t="str">
        <f t="shared" si="2"/>
        <v>Lingj</v>
      </c>
      <c r="H16" s="1" t="str">
        <f t="shared" si="3"/>
        <v>Lingjun Li</v>
      </c>
      <c r="I16" t="s">
        <v>284</v>
      </c>
      <c r="K16" s="3" t="s">
        <v>22</v>
      </c>
    </row>
    <row r="17" spans="1:12" x14ac:dyDescent="0.35">
      <c r="A17" t="s">
        <v>197</v>
      </c>
      <c r="B17">
        <f t="shared" si="0"/>
        <v>2</v>
      </c>
      <c r="C17" t="s">
        <v>203</v>
      </c>
      <c r="D17" t="s">
        <v>42</v>
      </c>
      <c r="E17" t="s">
        <v>41</v>
      </c>
      <c r="F17" t="str">
        <f t="shared" si="1"/>
        <v>Matthew Holcomb</v>
      </c>
      <c r="G17" s="1" t="str">
        <f t="shared" si="2"/>
        <v>Matth</v>
      </c>
      <c r="H17" s="1" t="str">
        <f t="shared" si="3"/>
        <v>Matthew Ho</v>
      </c>
      <c r="K17" t="s">
        <v>22</v>
      </c>
    </row>
    <row r="18" spans="1:12" x14ac:dyDescent="0.35">
      <c r="A18" t="s">
        <v>198</v>
      </c>
      <c r="B18">
        <f t="shared" si="0"/>
        <v>2</v>
      </c>
      <c r="C18" t="s">
        <v>239</v>
      </c>
      <c r="D18" t="s">
        <v>108</v>
      </c>
      <c r="E18" t="s">
        <v>107</v>
      </c>
      <c r="F18" t="str">
        <f t="shared" si="1"/>
        <v>Yorke Zhang</v>
      </c>
      <c r="G18" s="1" t="str">
        <f t="shared" si="2"/>
        <v>Yorke</v>
      </c>
      <c r="H18" s="1" t="str">
        <f t="shared" si="3"/>
        <v>Yorke Zhan</v>
      </c>
      <c r="K18" t="s">
        <v>22</v>
      </c>
    </row>
    <row r="19" spans="1:12" x14ac:dyDescent="0.35">
      <c r="A19" t="s">
        <v>199</v>
      </c>
      <c r="B19">
        <f t="shared" si="0"/>
        <v>2</v>
      </c>
      <c r="C19" t="s">
        <v>264</v>
      </c>
      <c r="D19" t="s">
        <v>157</v>
      </c>
      <c r="E19" t="s">
        <v>156</v>
      </c>
      <c r="F19" t="str">
        <f t="shared" si="1"/>
        <v>Kiyofumi Hamashima</v>
      </c>
      <c r="G19" s="1" t="str">
        <f t="shared" si="2"/>
        <v>Kiyof</v>
      </c>
      <c r="H19" s="1" t="str">
        <f t="shared" si="3"/>
        <v>Kiyofumi H</v>
      </c>
      <c r="K19" t="s">
        <v>297</v>
      </c>
    </row>
    <row r="20" spans="1:12" x14ac:dyDescent="0.35">
      <c r="A20" t="s">
        <v>200</v>
      </c>
      <c r="B20">
        <f t="shared" si="0"/>
        <v>1</v>
      </c>
      <c r="C20" t="s">
        <v>183</v>
      </c>
      <c r="D20" t="s">
        <v>3</v>
      </c>
      <c r="E20" t="s">
        <v>2</v>
      </c>
      <c r="F20" t="str">
        <f t="shared" si="1"/>
        <v>Neyiasuo Agboha</v>
      </c>
      <c r="G20" s="1" t="str">
        <f t="shared" si="2"/>
        <v>Neyia</v>
      </c>
      <c r="H20" s="1" t="str">
        <f t="shared" si="3"/>
        <v>Neyiasuo A</v>
      </c>
      <c r="K20" t="s">
        <v>6</v>
      </c>
    </row>
    <row r="21" spans="1:12" x14ac:dyDescent="0.35">
      <c r="A21" t="s">
        <v>201</v>
      </c>
      <c r="B21">
        <f t="shared" si="0"/>
        <v>1</v>
      </c>
      <c r="C21" t="s">
        <v>184</v>
      </c>
      <c r="D21" t="s">
        <v>5</v>
      </c>
      <c r="E21" t="s">
        <v>4</v>
      </c>
      <c r="F21" t="str">
        <f t="shared" si="1"/>
        <v>Mickey Muscalli</v>
      </c>
      <c r="G21" s="1" t="str">
        <f t="shared" si="2"/>
        <v>Micke</v>
      </c>
      <c r="H21" s="1" t="str">
        <f t="shared" si="3"/>
        <v>Mickey Mus</v>
      </c>
      <c r="I21" t="s">
        <v>298</v>
      </c>
      <c r="K21" t="s">
        <v>6</v>
      </c>
    </row>
    <row r="22" spans="1:12" x14ac:dyDescent="0.35">
      <c r="A22" t="s">
        <v>202</v>
      </c>
      <c r="B22">
        <f t="shared" si="0"/>
        <v>1</v>
      </c>
      <c r="C22" t="s">
        <v>187</v>
      </c>
      <c r="D22" t="s">
        <v>11</v>
      </c>
      <c r="E22" t="s">
        <v>10</v>
      </c>
      <c r="F22" t="str">
        <f t="shared" si="1"/>
        <v>Kirandeep Dhami</v>
      </c>
      <c r="G22" s="1" t="str">
        <f t="shared" si="2"/>
        <v>Kiran</v>
      </c>
      <c r="H22" s="1" t="str">
        <f t="shared" si="3"/>
        <v xml:space="preserve">Kirandeep </v>
      </c>
      <c r="K22" t="s">
        <v>22</v>
      </c>
    </row>
    <row r="23" spans="1:12" x14ac:dyDescent="0.35">
      <c r="A23" t="s">
        <v>193</v>
      </c>
      <c r="B23">
        <f t="shared" si="0"/>
        <v>1</v>
      </c>
      <c r="C23" t="s">
        <v>189</v>
      </c>
      <c r="D23" t="s">
        <v>15</v>
      </c>
      <c r="E23" t="s">
        <v>14</v>
      </c>
      <c r="F23" t="str">
        <f t="shared" si="1"/>
        <v>Tingjian Chen</v>
      </c>
      <c r="G23" s="1" t="str">
        <f t="shared" si="2"/>
        <v>Tingj</v>
      </c>
      <c r="H23" s="1" t="str">
        <f t="shared" si="3"/>
        <v>Tingjian C</v>
      </c>
      <c r="K23" t="s">
        <v>22</v>
      </c>
    </row>
    <row r="24" spans="1:12" x14ac:dyDescent="0.35">
      <c r="A24" t="s">
        <v>195</v>
      </c>
      <c r="B24">
        <f t="shared" si="0"/>
        <v>1</v>
      </c>
      <c r="C24" t="s">
        <v>190</v>
      </c>
      <c r="D24" t="s">
        <v>17</v>
      </c>
      <c r="E24" t="s">
        <v>16</v>
      </c>
      <c r="F24" t="str">
        <f t="shared" si="1"/>
        <v>Nan Dai</v>
      </c>
      <c r="G24" s="1" t="str">
        <f t="shared" si="2"/>
        <v>Nan D</v>
      </c>
      <c r="H24" s="1" t="str">
        <f t="shared" si="3"/>
        <v>Nan Dai</v>
      </c>
      <c r="K24" t="s">
        <v>22</v>
      </c>
    </row>
    <row r="25" spans="1:12" x14ac:dyDescent="0.35">
      <c r="A25" t="s">
        <v>203</v>
      </c>
      <c r="B25">
        <f t="shared" si="0"/>
        <v>1</v>
      </c>
      <c r="C25" t="s">
        <v>191</v>
      </c>
      <c r="D25" t="s">
        <v>19</v>
      </c>
      <c r="E25" t="s">
        <v>18</v>
      </c>
      <c r="F25" t="str">
        <f t="shared" si="1"/>
        <v>Jeremy M. Foster</v>
      </c>
      <c r="G25" s="1" t="str">
        <f t="shared" si="2"/>
        <v>Jerem</v>
      </c>
      <c r="H25" s="1" t="str">
        <f t="shared" si="3"/>
        <v xml:space="preserve">Jeremy M. </v>
      </c>
      <c r="K25" t="s">
        <v>22</v>
      </c>
    </row>
    <row r="26" spans="1:12" x14ac:dyDescent="0.35">
      <c r="A26" t="s">
        <v>194</v>
      </c>
      <c r="B26">
        <f t="shared" si="0"/>
        <v>1</v>
      </c>
      <c r="C26" t="s">
        <v>192</v>
      </c>
      <c r="D26" t="s">
        <v>21</v>
      </c>
      <c r="E26" t="s">
        <v>20</v>
      </c>
      <c r="F26" t="str">
        <f t="shared" si="1"/>
        <v>Ivan R. Corrêa</v>
      </c>
      <c r="G26" s="1" t="str">
        <f t="shared" si="2"/>
        <v xml:space="preserve">Ivan </v>
      </c>
      <c r="H26" s="1" t="str">
        <f t="shared" si="3"/>
        <v>Ivan R. Co</v>
      </c>
      <c r="K26" t="s">
        <v>22</v>
      </c>
    </row>
    <row r="27" spans="1:12" x14ac:dyDescent="0.35">
      <c r="A27" t="s">
        <v>197</v>
      </c>
      <c r="B27">
        <f t="shared" si="0"/>
        <v>1</v>
      </c>
      <c r="C27" t="s">
        <v>198</v>
      </c>
      <c r="D27" t="s">
        <v>33</v>
      </c>
      <c r="E27" t="s">
        <v>32</v>
      </c>
      <c r="F27" t="str">
        <f t="shared" si="1"/>
        <v>Yanbo You</v>
      </c>
      <c r="G27" s="1" t="str">
        <f t="shared" si="2"/>
        <v>Yanbo</v>
      </c>
      <c r="H27" s="1" t="str">
        <f t="shared" si="3"/>
        <v>Yanbo You</v>
      </c>
      <c r="K27" t="s">
        <v>22</v>
      </c>
    </row>
    <row r="28" spans="1:12" x14ac:dyDescent="0.35">
      <c r="A28" t="s">
        <v>204</v>
      </c>
      <c r="B28">
        <f t="shared" si="0"/>
        <v>1</v>
      </c>
      <c r="C28" t="s">
        <v>201</v>
      </c>
      <c r="D28" t="s">
        <v>38</v>
      </c>
      <c r="E28" t="s">
        <v>14</v>
      </c>
      <c r="F28" t="str">
        <f t="shared" si="1"/>
        <v>Jason S. Chen</v>
      </c>
      <c r="G28" s="1" t="str">
        <f t="shared" si="2"/>
        <v>Jason</v>
      </c>
      <c r="H28" s="1" t="str">
        <f t="shared" si="3"/>
        <v>Jason S. C</v>
      </c>
      <c r="K28" t="s">
        <v>22</v>
      </c>
    </row>
    <row r="29" spans="1:12" x14ac:dyDescent="0.35">
      <c r="A29" t="s">
        <v>193</v>
      </c>
      <c r="B29">
        <f t="shared" si="0"/>
        <v>1</v>
      </c>
      <c r="C29" t="s">
        <v>204</v>
      </c>
      <c r="D29" t="s">
        <v>44</v>
      </c>
      <c r="E29" t="s">
        <v>43</v>
      </c>
      <c r="F29" t="str">
        <f t="shared" si="1"/>
        <v>Tammy J. Dwyer</v>
      </c>
      <c r="G29" s="1" t="str">
        <f t="shared" si="2"/>
        <v>Tammy</v>
      </c>
      <c r="H29" s="1" t="str">
        <f t="shared" si="3"/>
        <v>Tammy J. D</v>
      </c>
      <c r="K29" t="s">
        <v>22</v>
      </c>
    </row>
    <row r="30" spans="1:12" x14ac:dyDescent="0.35">
      <c r="A30" t="s">
        <v>205</v>
      </c>
      <c r="B30">
        <f t="shared" si="0"/>
        <v>1</v>
      </c>
      <c r="C30" t="s">
        <v>205</v>
      </c>
      <c r="D30" t="s">
        <v>46</v>
      </c>
      <c r="E30" t="s">
        <v>45</v>
      </c>
      <c r="F30" t="str">
        <f t="shared" si="1"/>
        <v>Ruiwu Liu</v>
      </c>
      <c r="G30" s="1" t="str">
        <f t="shared" si="2"/>
        <v>Ruiwu</v>
      </c>
      <c r="H30" s="1" t="str">
        <f t="shared" si="3"/>
        <v>Ruiwu Liu</v>
      </c>
      <c r="I30" t="s">
        <v>299</v>
      </c>
      <c r="J30" t="s">
        <v>300</v>
      </c>
      <c r="L30">
        <v>1</v>
      </c>
    </row>
    <row r="31" spans="1:12" x14ac:dyDescent="0.35">
      <c r="A31" t="s">
        <v>206</v>
      </c>
      <c r="B31">
        <f t="shared" si="0"/>
        <v>1</v>
      </c>
      <c r="C31" t="s">
        <v>206</v>
      </c>
      <c r="D31" t="s">
        <v>48</v>
      </c>
      <c r="E31" t="s">
        <v>47</v>
      </c>
      <c r="F31" t="str">
        <f t="shared" si="1"/>
        <v>Kit S. Lam</v>
      </c>
      <c r="G31" s="1" t="str">
        <f t="shared" si="2"/>
        <v>Kit S</v>
      </c>
      <c r="H31" s="1" t="str">
        <f t="shared" si="3"/>
        <v>Kit S. Lam</v>
      </c>
      <c r="I31" t="s">
        <v>301</v>
      </c>
      <c r="J31" s="1" t="s">
        <v>302</v>
      </c>
      <c r="L31">
        <v>1</v>
      </c>
    </row>
    <row r="32" spans="1:12" x14ac:dyDescent="0.35">
      <c r="A32" t="s">
        <v>207</v>
      </c>
      <c r="B32">
        <f t="shared" si="0"/>
        <v>1</v>
      </c>
      <c r="C32" t="s">
        <v>207</v>
      </c>
      <c r="D32" t="s">
        <v>50</v>
      </c>
      <c r="E32" t="s">
        <v>49</v>
      </c>
      <c r="F32" t="str">
        <f t="shared" si="1"/>
        <v>Zunyi Yang</v>
      </c>
      <c r="G32" s="1" t="str">
        <f t="shared" si="2"/>
        <v>Zunyi</v>
      </c>
      <c r="H32" s="1" t="str">
        <f t="shared" si="3"/>
        <v>Zunyi Yang</v>
      </c>
      <c r="J32" t="s">
        <v>303</v>
      </c>
      <c r="K32" t="s">
        <v>54</v>
      </c>
    </row>
    <row r="33" spans="1:11" x14ac:dyDescent="0.35">
      <c r="A33" t="s">
        <v>208</v>
      </c>
      <c r="B33">
        <f t="shared" si="0"/>
        <v>1</v>
      </c>
      <c r="C33" t="s">
        <v>208</v>
      </c>
      <c r="D33" t="s">
        <v>51</v>
      </c>
      <c r="E33" t="s">
        <v>14</v>
      </c>
      <c r="F33" t="str">
        <f t="shared" si="1"/>
        <v>Fei Chen</v>
      </c>
      <c r="G33" s="1" t="str">
        <f t="shared" si="2"/>
        <v>Fei C</v>
      </c>
      <c r="H33" s="1" t="str">
        <f t="shared" si="3"/>
        <v>Fei Chen</v>
      </c>
      <c r="K33" t="s">
        <v>54</v>
      </c>
    </row>
    <row r="34" spans="1:11" x14ac:dyDescent="0.35">
      <c r="A34" t="s">
        <v>209</v>
      </c>
      <c r="B34">
        <f t="shared" ref="B34:B65" si="4">COUNTIF(A:A,C34)</f>
        <v>1</v>
      </c>
      <c r="C34" t="s">
        <v>209</v>
      </c>
      <c r="D34" t="s">
        <v>53</v>
      </c>
      <c r="E34" t="s">
        <v>52</v>
      </c>
      <c r="F34" t="str">
        <f t="shared" si="1"/>
        <v>J. Brian Alvarado</v>
      </c>
      <c r="G34" s="1" t="str">
        <f t="shared" si="2"/>
        <v>J. Br</v>
      </c>
      <c r="H34" s="1" t="str">
        <f t="shared" si="3"/>
        <v>J. Brian A</v>
      </c>
      <c r="K34" t="s">
        <v>54</v>
      </c>
    </row>
    <row r="35" spans="1:11" x14ac:dyDescent="0.35">
      <c r="A35" t="s">
        <v>210</v>
      </c>
      <c r="B35">
        <f t="shared" si="4"/>
        <v>1</v>
      </c>
      <c r="C35" t="s">
        <v>211</v>
      </c>
      <c r="D35" t="s">
        <v>57</v>
      </c>
      <c r="E35" t="s">
        <v>56</v>
      </c>
      <c r="F35" t="str">
        <f t="shared" si="1"/>
        <v>Shuichi Hoshika</v>
      </c>
      <c r="G35" s="1" t="str">
        <f t="shared" si="2"/>
        <v>Shuic</v>
      </c>
      <c r="H35" s="1" t="str">
        <f t="shared" si="3"/>
        <v>Shuichi Ho</v>
      </c>
      <c r="K35" t="s">
        <v>54</v>
      </c>
    </row>
    <row r="36" spans="1:11" x14ac:dyDescent="0.35">
      <c r="A36" t="s">
        <v>195</v>
      </c>
      <c r="B36">
        <f t="shared" si="4"/>
        <v>1</v>
      </c>
      <c r="C36" t="s">
        <v>212</v>
      </c>
      <c r="D36" t="s">
        <v>59</v>
      </c>
      <c r="E36" t="s">
        <v>58</v>
      </c>
      <c r="F36" t="str">
        <f t="shared" si="1"/>
        <v>Nicole A. Leal</v>
      </c>
      <c r="G36" s="1" t="str">
        <f t="shared" si="2"/>
        <v>Nicol</v>
      </c>
      <c r="H36" s="1" t="str">
        <f t="shared" si="3"/>
        <v xml:space="preserve">Nicole A. </v>
      </c>
      <c r="J36" t="s">
        <v>305</v>
      </c>
      <c r="K36" t="s">
        <v>54</v>
      </c>
    </row>
    <row r="37" spans="1:11" x14ac:dyDescent="0.35">
      <c r="A37" t="s">
        <v>203</v>
      </c>
      <c r="B37">
        <f t="shared" si="4"/>
        <v>1</v>
      </c>
      <c r="C37" t="s">
        <v>213</v>
      </c>
      <c r="D37" t="s">
        <v>61</v>
      </c>
      <c r="E37" t="s">
        <v>60</v>
      </c>
      <c r="F37" t="str">
        <f t="shared" si="1"/>
        <v>Myong-Jung Kim</v>
      </c>
      <c r="G37" s="1" t="str">
        <f t="shared" si="2"/>
        <v>Myong</v>
      </c>
      <c r="H37" s="1" t="str">
        <f t="shared" si="3"/>
        <v>Myong-Jung</v>
      </c>
      <c r="J37" t="s">
        <v>308</v>
      </c>
      <c r="K37" t="s">
        <v>54</v>
      </c>
    </row>
    <row r="38" spans="1:11" x14ac:dyDescent="0.35">
      <c r="A38" t="s">
        <v>193</v>
      </c>
      <c r="B38">
        <f t="shared" si="4"/>
        <v>1</v>
      </c>
      <c r="C38" t="s">
        <v>214</v>
      </c>
      <c r="D38" t="s">
        <v>62</v>
      </c>
      <c r="E38" t="s">
        <v>60</v>
      </c>
      <c r="F38" t="str">
        <f t="shared" si="1"/>
        <v>Myong-Sang Kim</v>
      </c>
      <c r="G38" s="1" t="str">
        <f t="shared" si="2"/>
        <v>Myong</v>
      </c>
      <c r="H38" s="1" t="str">
        <f t="shared" si="3"/>
        <v>Myong-Sang</v>
      </c>
      <c r="K38" t="s">
        <v>54</v>
      </c>
    </row>
    <row r="39" spans="1:11" x14ac:dyDescent="0.35">
      <c r="A39" t="s">
        <v>211</v>
      </c>
      <c r="B39">
        <f t="shared" si="4"/>
        <v>1</v>
      </c>
      <c r="C39" t="s">
        <v>215</v>
      </c>
      <c r="D39" t="s">
        <v>64</v>
      </c>
      <c r="E39" t="s">
        <v>63</v>
      </c>
      <c r="F39" t="str">
        <f t="shared" si="1"/>
        <v>Nilesh B. Karalkar</v>
      </c>
      <c r="G39" s="1" t="str">
        <f t="shared" si="2"/>
        <v>Niles</v>
      </c>
      <c r="H39" s="1" t="str">
        <f t="shared" si="3"/>
        <v xml:space="preserve">Nilesh B. </v>
      </c>
      <c r="J39" t="s">
        <v>306</v>
      </c>
      <c r="K39" t="s">
        <v>54</v>
      </c>
    </row>
    <row r="40" spans="1:11" x14ac:dyDescent="0.35">
      <c r="A40" t="s">
        <v>212</v>
      </c>
      <c r="B40">
        <f t="shared" si="4"/>
        <v>1</v>
      </c>
      <c r="C40" t="s">
        <v>216</v>
      </c>
      <c r="D40" t="s">
        <v>65</v>
      </c>
      <c r="E40" t="s">
        <v>60</v>
      </c>
      <c r="F40" t="str">
        <f t="shared" si="1"/>
        <v>Hyo-Joong Kim</v>
      </c>
      <c r="G40" s="1" t="str">
        <f t="shared" si="2"/>
        <v>Hyo-J</v>
      </c>
      <c r="H40" s="1" t="str">
        <f t="shared" si="3"/>
        <v xml:space="preserve">Hyo-Joong </v>
      </c>
      <c r="J40" t="s">
        <v>307</v>
      </c>
      <c r="K40" t="s">
        <v>54</v>
      </c>
    </row>
    <row r="41" spans="1:11" x14ac:dyDescent="0.35">
      <c r="A41" t="s">
        <v>213</v>
      </c>
      <c r="B41">
        <f t="shared" si="4"/>
        <v>1</v>
      </c>
      <c r="C41" t="s">
        <v>217</v>
      </c>
      <c r="D41" t="s">
        <v>67</v>
      </c>
      <c r="E41" t="s">
        <v>66</v>
      </c>
      <c r="F41" t="str">
        <f t="shared" si="1"/>
        <v>Alison M. Bates</v>
      </c>
      <c r="G41" s="1" t="str">
        <f t="shared" si="2"/>
        <v>Aliso</v>
      </c>
      <c r="H41" s="1" t="str">
        <f t="shared" si="3"/>
        <v xml:space="preserve">Alison M. </v>
      </c>
      <c r="K41" t="s">
        <v>54</v>
      </c>
    </row>
    <row r="42" spans="1:11" x14ac:dyDescent="0.35">
      <c r="A42" t="s">
        <v>214</v>
      </c>
      <c r="B42">
        <f t="shared" si="4"/>
        <v>1</v>
      </c>
      <c r="C42" t="s">
        <v>218</v>
      </c>
      <c r="D42" t="s">
        <v>69</v>
      </c>
      <c r="E42" t="s">
        <v>68</v>
      </c>
      <c r="F42" t="str">
        <f t="shared" si="1"/>
        <v>Norman E. Watkins</v>
      </c>
      <c r="G42" s="1" t="str">
        <f t="shared" si="2"/>
        <v>Norma</v>
      </c>
      <c r="H42" s="1" t="str">
        <f t="shared" si="3"/>
        <v xml:space="preserve">Norman E. </v>
      </c>
      <c r="K42" t="s">
        <v>54</v>
      </c>
    </row>
    <row r="43" spans="1:11" x14ac:dyDescent="0.35">
      <c r="A43" t="s">
        <v>215</v>
      </c>
      <c r="B43">
        <f t="shared" si="4"/>
        <v>1</v>
      </c>
      <c r="C43" t="s">
        <v>219</v>
      </c>
      <c r="D43" t="s">
        <v>71</v>
      </c>
      <c r="E43" t="s">
        <v>70</v>
      </c>
      <c r="F43" t="str">
        <f t="shared" si="1"/>
        <v>Holly A. SantaLucia</v>
      </c>
      <c r="G43" s="1" t="str">
        <f t="shared" si="2"/>
        <v>Holly</v>
      </c>
      <c r="H43" s="1" t="str">
        <f t="shared" si="3"/>
        <v>Holly A. S</v>
      </c>
      <c r="K43" t="s">
        <v>54</v>
      </c>
    </row>
    <row r="44" spans="1:11" x14ac:dyDescent="0.35">
      <c r="A44" t="s">
        <v>216</v>
      </c>
      <c r="B44">
        <f t="shared" si="4"/>
        <v>1</v>
      </c>
      <c r="C44" t="s">
        <v>220</v>
      </c>
      <c r="D44" t="s">
        <v>73</v>
      </c>
      <c r="E44" t="s">
        <v>72</v>
      </c>
      <c r="F44" t="str">
        <f t="shared" si="1"/>
        <v>Adam J. Meyer</v>
      </c>
      <c r="G44" s="1" t="str">
        <f t="shared" si="2"/>
        <v xml:space="preserve">Adam </v>
      </c>
      <c r="H44" s="1" t="str">
        <f t="shared" si="3"/>
        <v>Adam J. Me</v>
      </c>
      <c r="J44" t="s">
        <v>309</v>
      </c>
      <c r="K44" t="s">
        <v>54</v>
      </c>
    </row>
    <row r="45" spans="1:11" x14ac:dyDescent="0.35">
      <c r="A45" t="s">
        <v>217</v>
      </c>
      <c r="B45">
        <f t="shared" si="4"/>
        <v>1</v>
      </c>
      <c r="C45" t="s">
        <v>221</v>
      </c>
      <c r="D45" t="s">
        <v>75</v>
      </c>
      <c r="E45" t="s">
        <v>74</v>
      </c>
      <c r="F45" t="str">
        <f t="shared" si="1"/>
        <v>Saurja DasGupta</v>
      </c>
      <c r="G45" s="1" t="str">
        <f t="shared" si="2"/>
        <v>Saurj</v>
      </c>
      <c r="H45" s="1" t="str">
        <f t="shared" si="3"/>
        <v>Saurja Das</v>
      </c>
      <c r="I45" s="1" t="s">
        <v>310</v>
      </c>
      <c r="J45" s="1" t="s">
        <v>311</v>
      </c>
      <c r="K45" s="3" t="s">
        <v>54</v>
      </c>
    </row>
    <row r="46" spans="1:11" x14ac:dyDescent="0.35">
      <c r="A46" t="s">
        <v>218</v>
      </c>
      <c r="B46">
        <f t="shared" si="4"/>
        <v>1</v>
      </c>
      <c r="C46" t="s">
        <v>222</v>
      </c>
      <c r="D46" t="s">
        <v>77</v>
      </c>
      <c r="E46" t="s">
        <v>76</v>
      </c>
      <c r="F46" t="str">
        <f t="shared" si="1"/>
        <v>Joseph A. Piccirilli</v>
      </c>
      <c r="G46" s="1" t="str">
        <f t="shared" si="2"/>
        <v>Josep</v>
      </c>
      <c r="H46" s="1" t="str">
        <f t="shared" si="3"/>
        <v xml:space="preserve">Joseph A. </v>
      </c>
      <c r="I46" s="1" t="s">
        <v>313</v>
      </c>
      <c r="J46" t="s">
        <v>312</v>
      </c>
      <c r="K46" s="3" t="s">
        <v>54</v>
      </c>
    </row>
    <row r="47" spans="1:11" x14ac:dyDescent="0.35">
      <c r="A47" t="s">
        <v>219</v>
      </c>
      <c r="B47">
        <f t="shared" si="4"/>
        <v>1</v>
      </c>
      <c r="C47" t="s">
        <v>223</v>
      </c>
      <c r="D47" t="s">
        <v>79</v>
      </c>
      <c r="E47" t="s">
        <v>78</v>
      </c>
      <c r="F47" t="str">
        <f t="shared" si="1"/>
        <v>Andrew D. Ellington</v>
      </c>
      <c r="G47" s="1" t="str">
        <f t="shared" si="2"/>
        <v>Andre</v>
      </c>
      <c r="H47" s="1" t="str">
        <f t="shared" si="3"/>
        <v xml:space="preserve">Andrew D. </v>
      </c>
      <c r="I47" s="1" t="s">
        <v>315</v>
      </c>
      <c r="J47" t="s">
        <v>314</v>
      </c>
      <c r="K47" s="3" t="s">
        <v>54</v>
      </c>
    </row>
    <row r="48" spans="1:11" x14ac:dyDescent="0.35">
      <c r="A48" t="s">
        <v>220</v>
      </c>
      <c r="B48">
        <f t="shared" si="4"/>
        <v>1</v>
      </c>
      <c r="C48" t="s">
        <v>224</v>
      </c>
      <c r="D48" t="s">
        <v>80</v>
      </c>
      <c r="E48" t="s">
        <v>70</v>
      </c>
      <c r="F48" t="str">
        <f t="shared" si="1"/>
        <v>John SantaLucia</v>
      </c>
      <c r="G48" s="1" t="str">
        <f t="shared" si="2"/>
        <v xml:space="preserve">John </v>
      </c>
      <c r="H48" s="1" t="str">
        <f t="shared" si="3"/>
        <v>John Santa</v>
      </c>
      <c r="I48" s="1" t="s">
        <v>316</v>
      </c>
      <c r="J48" t="s">
        <v>317</v>
      </c>
      <c r="K48" s="3" t="s">
        <v>54</v>
      </c>
    </row>
    <row r="49" spans="1:12" x14ac:dyDescent="0.35">
      <c r="A49" t="s">
        <v>221</v>
      </c>
      <c r="B49">
        <f t="shared" si="4"/>
        <v>1</v>
      </c>
      <c r="C49" t="s">
        <v>225</v>
      </c>
      <c r="D49" t="s">
        <v>82</v>
      </c>
      <c r="E49" t="s">
        <v>81</v>
      </c>
      <c r="F49" t="str">
        <f t="shared" si="1"/>
        <v>Millie M. Georgiadis</v>
      </c>
      <c r="G49" s="1" t="str">
        <f t="shared" si="2"/>
        <v>Milli</v>
      </c>
      <c r="H49" s="1" t="str">
        <f t="shared" si="3"/>
        <v xml:space="preserve">Millie M. </v>
      </c>
      <c r="I49" s="1" t="s">
        <v>319</v>
      </c>
      <c r="J49" t="s">
        <v>318</v>
      </c>
      <c r="K49" s="3" t="s">
        <v>54</v>
      </c>
    </row>
    <row r="50" spans="1:12" x14ac:dyDescent="0.35">
      <c r="A50" t="s">
        <v>222</v>
      </c>
      <c r="B50">
        <f t="shared" si="4"/>
        <v>1</v>
      </c>
      <c r="C50" t="s">
        <v>226</v>
      </c>
      <c r="D50" t="s">
        <v>84</v>
      </c>
      <c r="E50" t="s">
        <v>83</v>
      </c>
      <c r="F50" t="str">
        <f t="shared" si="1"/>
        <v>Kristen K. Merritt</v>
      </c>
      <c r="G50" s="1" t="str">
        <f t="shared" si="2"/>
        <v>Krist</v>
      </c>
      <c r="H50" s="1" t="str">
        <f t="shared" si="3"/>
        <v>Kristen K.</v>
      </c>
      <c r="K50" t="s">
        <v>54</v>
      </c>
    </row>
    <row r="51" spans="1:12" x14ac:dyDescent="0.35">
      <c r="A51" t="s">
        <v>223</v>
      </c>
      <c r="B51">
        <f t="shared" si="4"/>
        <v>1</v>
      </c>
      <c r="C51" t="s">
        <v>227</v>
      </c>
      <c r="D51" t="s">
        <v>86</v>
      </c>
      <c r="E51" t="s">
        <v>85</v>
      </c>
      <c r="F51" t="str">
        <f t="shared" si="1"/>
        <v>Kevin M. Bradley</v>
      </c>
      <c r="G51" s="1" t="str">
        <f t="shared" si="2"/>
        <v>Kevin</v>
      </c>
      <c r="H51" s="1" t="str">
        <f t="shared" si="3"/>
        <v>Kevin M. B</v>
      </c>
      <c r="K51" t="s">
        <v>54</v>
      </c>
    </row>
    <row r="52" spans="1:12" x14ac:dyDescent="0.35">
      <c r="A52" t="s">
        <v>224</v>
      </c>
      <c r="B52">
        <f t="shared" si="4"/>
        <v>1</v>
      </c>
      <c r="C52" t="s">
        <v>228</v>
      </c>
      <c r="D52" t="s">
        <v>88</v>
      </c>
      <c r="E52" t="s">
        <v>87</v>
      </c>
      <c r="F52" t="str">
        <f t="shared" si="1"/>
        <v>Daniel Hutter</v>
      </c>
      <c r="G52" s="1" t="str">
        <f t="shared" si="2"/>
        <v>Danie</v>
      </c>
      <c r="H52" s="1" t="str">
        <f t="shared" si="3"/>
        <v>Daniel Hut</v>
      </c>
      <c r="K52" t="s">
        <v>54</v>
      </c>
    </row>
    <row r="53" spans="1:12" x14ac:dyDescent="0.35">
      <c r="A53" t="s">
        <v>225</v>
      </c>
      <c r="B53">
        <f t="shared" si="4"/>
        <v>1</v>
      </c>
      <c r="C53" t="s">
        <v>229</v>
      </c>
      <c r="D53" t="s">
        <v>90</v>
      </c>
      <c r="E53" t="s">
        <v>89</v>
      </c>
      <c r="F53" t="str">
        <f t="shared" si="1"/>
        <v>Mariko F. Matsuura</v>
      </c>
      <c r="G53" s="1" t="str">
        <f t="shared" si="2"/>
        <v>Marik</v>
      </c>
      <c r="H53" s="1" t="str">
        <f t="shared" si="3"/>
        <v xml:space="preserve">Mariko F. </v>
      </c>
      <c r="J53" t="s">
        <v>320</v>
      </c>
      <c r="K53" t="s">
        <v>54</v>
      </c>
    </row>
    <row r="54" spans="1:12" x14ac:dyDescent="0.35">
      <c r="A54" t="s">
        <v>210</v>
      </c>
      <c r="B54">
        <f t="shared" si="4"/>
        <v>1</v>
      </c>
      <c r="C54" t="s">
        <v>230</v>
      </c>
      <c r="D54" t="s">
        <v>92</v>
      </c>
      <c r="E54" t="s">
        <v>91</v>
      </c>
      <c r="F54" t="str">
        <f t="shared" si="1"/>
        <v>Diane J. Rowold</v>
      </c>
      <c r="G54" s="1" t="str">
        <f t="shared" si="2"/>
        <v>Diane</v>
      </c>
      <c r="H54" s="1" t="str">
        <f t="shared" si="3"/>
        <v>Diane J. R</v>
      </c>
      <c r="K54" t="s">
        <v>54</v>
      </c>
    </row>
    <row r="55" spans="1:12" x14ac:dyDescent="0.35">
      <c r="A55" t="s">
        <v>226</v>
      </c>
      <c r="B55">
        <f t="shared" si="4"/>
        <v>1</v>
      </c>
      <c r="C55" t="s">
        <v>231</v>
      </c>
      <c r="D55" t="s">
        <v>94</v>
      </c>
      <c r="E55" t="s">
        <v>93</v>
      </c>
      <c r="F55" t="str">
        <f t="shared" si="1"/>
        <v>Hyunjin Shim</v>
      </c>
      <c r="G55" s="1" t="str">
        <f t="shared" si="2"/>
        <v>Hyunj</v>
      </c>
      <c r="H55" s="1" t="str">
        <f t="shared" si="3"/>
        <v>Hyunjin Sh</v>
      </c>
      <c r="I55" s="1" t="s">
        <v>322</v>
      </c>
      <c r="J55" t="s">
        <v>321</v>
      </c>
      <c r="L55">
        <v>1</v>
      </c>
    </row>
    <row r="56" spans="1:12" x14ac:dyDescent="0.35">
      <c r="A56" t="s">
        <v>227</v>
      </c>
      <c r="B56">
        <f t="shared" si="4"/>
        <v>1</v>
      </c>
      <c r="C56" t="s">
        <v>232</v>
      </c>
      <c r="D56" t="s">
        <v>96</v>
      </c>
      <c r="E56" t="s">
        <v>95</v>
      </c>
      <c r="F56" t="str">
        <f t="shared" si="1"/>
        <v>Roy D. Sleator</v>
      </c>
      <c r="G56" s="1" t="str">
        <f t="shared" si="2"/>
        <v>Roy D</v>
      </c>
      <c r="H56" s="1" t="str">
        <f t="shared" si="3"/>
        <v>Roy D. Sle</v>
      </c>
      <c r="I56" t="s">
        <v>323</v>
      </c>
      <c r="J56" t="s">
        <v>324</v>
      </c>
      <c r="L56">
        <v>1</v>
      </c>
    </row>
    <row r="57" spans="1:12" x14ac:dyDescent="0.35">
      <c r="A57" t="s">
        <v>228</v>
      </c>
      <c r="B57">
        <f t="shared" si="4"/>
        <v>1</v>
      </c>
      <c r="C57" t="s">
        <v>235</v>
      </c>
      <c r="D57" t="s">
        <v>102</v>
      </c>
      <c r="E57" t="s">
        <v>101</v>
      </c>
      <c r="F57" t="str">
        <f t="shared" si="1"/>
        <v>John C Chaput</v>
      </c>
      <c r="G57" s="1" t="str">
        <f t="shared" si="2"/>
        <v xml:space="preserve">John </v>
      </c>
      <c r="H57" s="1" t="str">
        <f t="shared" si="3"/>
        <v>John C Cha</v>
      </c>
      <c r="I57" s="1" t="s">
        <v>326</v>
      </c>
      <c r="J57" t="s">
        <v>325</v>
      </c>
      <c r="L57">
        <v>1</v>
      </c>
    </row>
    <row r="58" spans="1:12" x14ac:dyDescent="0.35">
      <c r="A58" t="s">
        <v>229</v>
      </c>
      <c r="B58">
        <f t="shared" si="4"/>
        <v>1</v>
      </c>
      <c r="C58" t="s">
        <v>236</v>
      </c>
      <c r="D58" t="s">
        <v>104</v>
      </c>
      <c r="E58" t="s">
        <v>103</v>
      </c>
      <c r="F58" t="str">
        <f t="shared" si="1"/>
        <v>Janelle Weaver</v>
      </c>
      <c r="G58" s="1" t="str">
        <f t="shared" si="2"/>
        <v>Janel</v>
      </c>
      <c r="H58" s="1" t="str">
        <f t="shared" si="3"/>
        <v>Janelle We</v>
      </c>
      <c r="J58" t="s">
        <v>327</v>
      </c>
    </row>
    <row r="59" spans="1:12" x14ac:dyDescent="0.35">
      <c r="A59" t="s">
        <v>230</v>
      </c>
      <c r="B59">
        <f t="shared" si="4"/>
        <v>1</v>
      </c>
      <c r="C59" t="s">
        <v>237</v>
      </c>
      <c r="D59" t="s">
        <v>105</v>
      </c>
      <c r="E59" t="s">
        <v>8</v>
      </c>
      <c r="F59" t="str">
        <f t="shared" si="1"/>
        <v>Denis A Malyshev</v>
      </c>
      <c r="G59" s="1" t="str">
        <f t="shared" si="2"/>
        <v>Denis</v>
      </c>
      <c r="H59" s="1" t="str">
        <f t="shared" si="3"/>
        <v>Denis A Ma</v>
      </c>
      <c r="I59" t="s">
        <v>328</v>
      </c>
      <c r="K59" t="s">
        <v>22</v>
      </c>
    </row>
    <row r="60" spans="1:12" x14ac:dyDescent="0.35">
      <c r="A60" t="s">
        <v>210</v>
      </c>
      <c r="B60">
        <f t="shared" si="4"/>
        <v>1</v>
      </c>
      <c r="C60" t="s">
        <v>238</v>
      </c>
      <c r="D60" t="s">
        <v>106</v>
      </c>
      <c r="E60" t="s">
        <v>22</v>
      </c>
      <c r="F60" t="str">
        <f t="shared" si="1"/>
        <v>Floyd E Romesberg</v>
      </c>
      <c r="G60" s="1" t="str">
        <f t="shared" si="2"/>
        <v>Floyd</v>
      </c>
      <c r="H60" s="1" t="str">
        <f t="shared" si="3"/>
        <v>Floyd E Ro</v>
      </c>
      <c r="I60" t="s">
        <v>328</v>
      </c>
      <c r="K60" t="s">
        <v>22</v>
      </c>
    </row>
    <row r="61" spans="1:12" x14ac:dyDescent="0.35">
      <c r="A61" t="s">
        <v>231</v>
      </c>
      <c r="B61">
        <f t="shared" si="4"/>
        <v>1</v>
      </c>
      <c r="C61" t="s">
        <v>240</v>
      </c>
      <c r="D61" t="s">
        <v>110</v>
      </c>
      <c r="E61" t="s">
        <v>109</v>
      </c>
      <c r="F61" t="str">
        <f t="shared" si="1"/>
        <v>Jerod L. Ptacin</v>
      </c>
      <c r="G61" s="1" t="str">
        <f t="shared" si="2"/>
        <v>Jerod</v>
      </c>
      <c r="H61" s="1" t="str">
        <f t="shared" si="3"/>
        <v>Jerod L. P</v>
      </c>
      <c r="K61" t="s">
        <v>22</v>
      </c>
    </row>
    <row r="62" spans="1:12" x14ac:dyDescent="0.35">
      <c r="A62" t="s">
        <v>232</v>
      </c>
      <c r="B62">
        <f t="shared" si="4"/>
        <v>1</v>
      </c>
      <c r="C62" t="s">
        <v>241</v>
      </c>
      <c r="D62" t="s">
        <v>112</v>
      </c>
      <c r="E62" t="s">
        <v>111</v>
      </c>
      <c r="F62" t="str">
        <f t="shared" si="1"/>
        <v>Hans R. Aerni</v>
      </c>
      <c r="G62" s="1" t="str">
        <f t="shared" si="2"/>
        <v xml:space="preserve">Hans </v>
      </c>
      <c r="H62" s="1" t="str">
        <f t="shared" si="3"/>
        <v>Hans R. Ae</v>
      </c>
      <c r="K62" t="s">
        <v>22</v>
      </c>
    </row>
    <row r="63" spans="1:12" x14ac:dyDescent="0.35">
      <c r="A63" t="s">
        <v>233</v>
      </c>
      <c r="B63">
        <f t="shared" si="4"/>
        <v>1</v>
      </c>
      <c r="C63" t="s">
        <v>242</v>
      </c>
      <c r="D63" t="s">
        <v>114</v>
      </c>
      <c r="E63" t="s">
        <v>113</v>
      </c>
      <c r="F63" t="str">
        <f t="shared" si="1"/>
        <v>Carolina E. Caffaro</v>
      </c>
      <c r="G63" s="1" t="str">
        <f t="shared" si="2"/>
        <v>Carol</v>
      </c>
      <c r="H63" s="1" t="str">
        <f t="shared" si="3"/>
        <v>Carolina E</v>
      </c>
      <c r="J63" t="s">
        <v>329</v>
      </c>
      <c r="K63" t="s">
        <v>22</v>
      </c>
    </row>
    <row r="64" spans="1:12" x14ac:dyDescent="0.35">
      <c r="A64" t="s">
        <v>234</v>
      </c>
      <c r="B64">
        <f t="shared" si="4"/>
        <v>1</v>
      </c>
      <c r="C64" t="s">
        <v>243</v>
      </c>
      <c r="D64" t="s">
        <v>116</v>
      </c>
      <c r="E64" t="s">
        <v>115</v>
      </c>
      <c r="F64" t="str">
        <f t="shared" si="1"/>
        <v>Kristine San Jose</v>
      </c>
      <c r="G64" s="1" t="str">
        <f t="shared" si="2"/>
        <v>Krist</v>
      </c>
      <c r="H64" s="1" t="str">
        <f t="shared" si="3"/>
        <v>Kristine S</v>
      </c>
      <c r="K64" t="s">
        <v>22</v>
      </c>
    </row>
    <row r="65" spans="1:12" x14ac:dyDescent="0.35">
      <c r="A65" t="s">
        <v>235</v>
      </c>
      <c r="B65">
        <f t="shared" si="4"/>
        <v>1</v>
      </c>
      <c r="C65" t="s">
        <v>244</v>
      </c>
      <c r="D65" t="s">
        <v>118</v>
      </c>
      <c r="E65" t="s">
        <v>117</v>
      </c>
      <c r="F65" t="str">
        <f t="shared" si="1"/>
        <v>Court R. Turner</v>
      </c>
      <c r="G65" s="1" t="str">
        <f t="shared" si="2"/>
        <v>Court</v>
      </c>
      <c r="H65" s="1" t="str">
        <f t="shared" si="3"/>
        <v>Court R. T</v>
      </c>
      <c r="K65" t="s">
        <v>22</v>
      </c>
    </row>
    <row r="66" spans="1:12" x14ac:dyDescent="0.35">
      <c r="A66" t="s">
        <v>236</v>
      </c>
      <c r="B66">
        <f t="shared" ref="B66:B97" si="5">COUNTIF(A:A,C66)</f>
        <v>1</v>
      </c>
      <c r="C66" t="s">
        <v>245</v>
      </c>
      <c r="D66" t="s">
        <v>120</v>
      </c>
      <c r="E66" t="s">
        <v>119</v>
      </c>
      <c r="F66" t="str">
        <f t="shared" si="1"/>
        <v>Brian M. Lamb</v>
      </c>
      <c r="G66" s="1" t="str">
        <f t="shared" si="2"/>
        <v>Brian</v>
      </c>
      <c r="H66" s="1" t="str">
        <f t="shared" si="3"/>
        <v>Brian M. L</v>
      </c>
      <c r="K66" t="s">
        <v>22</v>
      </c>
    </row>
    <row r="67" spans="1:12" x14ac:dyDescent="0.35">
      <c r="A67" t="s">
        <v>237</v>
      </c>
      <c r="B67">
        <f t="shared" si="5"/>
        <v>1</v>
      </c>
      <c r="C67" t="s">
        <v>246</v>
      </c>
      <c r="D67" t="s">
        <v>122</v>
      </c>
      <c r="E67" t="s">
        <v>121</v>
      </c>
      <c r="F67" t="str">
        <f t="shared" ref="F67:F97" si="6">D67&amp;" "&amp;E67</f>
        <v>Anne Xiaozhou Zhou</v>
      </c>
      <c r="G67" s="1" t="str">
        <f t="shared" ref="G67:G97" si="7">HYPERLINK(_xlfn.CONCAT("https://scholar.google.com/scholar?hl=en&amp;as_sdt=0%2C5&amp;q=",SUBSTITUTE(F67," ","+"),"&amp;btnG="),LEFT(F67,5))</f>
        <v xml:space="preserve">Anne </v>
      </c>
      <c r="H67" s="1" t="str">
        <f t="shared" ref="H67:H97" si="8">HYPERLINK(_xlfn.CONCAT("https://duckduckgo.com/?q=",SUBSTITUTE(F67," ","+")),LEFT(F67,10))</f>
        <v>Anne Xiaoz</v>
      </c>
      <c r="K67" t="s">
        <v>22</v>
      </c>
    </row>
    <row r="68" spans="1:12" x14ac:dyDescent="0.35">
      <c r="A68" t="s">
        <v>238</v>
      </c>
      <c r="B68">
        <f t="shared" si="5"/>
        <v>1</v>
      </c>
      <c r="C68" t="s">
        <v>247</v>
      </c>
      <c r="D68" t="s">
        <v>124</v>
      </c>
      <c r="E68" t="s">
        <v>123</v>
      </c>
      <c r="F68" t="str">
        <f t="shared" si="6"/>
        <v>Jan Špaček</v>
      </c>
      <c r="G68" s="1" t="str">
        <f t="shared" si="7"/>
        <v>Jan Š</v>
      </c>
      <c r="H68" s="1" t="str">
        <f t="shared" si="8"/>
        <v>Jan Špaček</v>
      </c>
      <c r="I68" s="1" t="s">
        <v>330</v>
      </c>
    </row>
    <row r="69" spans="1:12" x14ac:dyDescent="0.35">
      <c r="A69" t="s">
        <v>239</v>
      </c>
      <c r="B69">
        <f t="shared" si="5"/>
        <v>1</v>
      </c>
      <c r="C69" t="s">
        <v>248</v>
      </c>
      <c r="D69" t="s">
        <v>126</v>
      </c>
      <c r="E69" t="s">
        <v>125</v>
      </c>
      <c r="F69" t="str">
        <f t="shared" si="6"/>
        <v>Miroslav Fojta</v>
      </c>
      <c r="G69" s="1" t="str">
        <f t="shared" si="7"/>
        <v>Miros</v>
      </c>
      <c r="H69" s="1" t="str">
        <f t="shared" si="8"/>
        <v>Miroslav F</v>
      </c>
      <c r="I69" s="1" t="s">
        <v>331</v>
      </c>
      <c r="J69" t="s">
        <v>332</v>
      </c>
      <c r="L69">
        <v>1</v>
      </c>
    </row>
    <row r="70" spans="1:12" x14ac:dyDescent="0.35">
      <c r="A70" t="s">
        <v>240</v>
      </c>
      <c r="B70">
        <f t="shared" si="5"/>
        <v>1</v>
      </c>
      <c r="C70" t="s">
        <v>249</v>
      </c>
      <c r="D70" t="s">
        <v>128</v>
      </c>
      <c r="E70" t="s">
        <v>127</v>
      </c>
      <c r="F70" t="str">
        <f t="shared" si="6"/>
        <v>Michael P. Ledbetter</v>
      </c>
      <c r="G70" s="1" t="str">
        <f t="shared" si="7"/>
        <v>Micha</v>
      </c>
      <c r="H70" s="1" t="str">
        <f t="shared" si="8"/>
        <v>Michael P.</v>
      </c>
      <c r="K70" t="s">
        <v>22</v>
      </c>
    </row>
    <row r="71" spans="1:12" x14ac:dyDescent="0.35">
      <c r="A71" t="s">
        <v>197</v>
      </c>
      <c r="B71">
        <f t="shared" si="5"/>
        <v>1</v>
      </c>
      <c r="C71" t="s">
        <v>250</v>
      </c>
      <c r="D71" t="s">
        <v>130</v>
      </c>
      <c r="E71" t="s">
        <v>129</v>
      </c>
      <c r="F71" t="str">
        <f t="shared" si="6"/>
        <v>Jonathan M. Craig</v>
      </c>
      <c r="G71" s="1" t="str">
        <f t="shared" si="7"/>
        <v>Jonat</v>
      </c>
      <c r="H71" s="1" t="str">
        <f t="shared" si="8"/>
        <v>Jonathan M</v>
      </c>
      <c r="K71" t="s">
        <v>22</v>
      </c>
    </row>
    <row r="72" spans="1:12" x14ac:dyDescent="0.35">
      <c r="A72" t="s">
        <v>241</v>
      </c>
      <c r="B72">
        <f t="shared" si="5"/>
        <v>1</v>
      </c>
      <c r="C72" t="s">
        <v>251</v>
      </c>
      <c r="D72" t="s">
        <v>132</v>
      </c>
      <c r="E72" t="s">
        <v>131</v>
      </c>
      <c r="F72" t="str">
        <f t="shared" si="6"/>
        <v>Matthew T. Noakes</v>
      </c>
      <c r="G72" s="1" t="str">
        <f t="shared" si="7"/>
        <v>Matth</v>
      </c>
      <c r="H72" s="1" t="str">
        <f t="shared" si="8"/>
        <v>Matthew T.</v>
      </c>
      <c r="K72" t="s">
        <v>22</v>
      </c>
    </row>
    <row r="73" spans="1:12" x14ac:dyDescent="0.35">
      <c r="A73" t="s">
        <v>242</v>
      </c>
      <c r="B73">
        <f t="shared" si="5"/>
        <v>1</v>
      </c>
      <c r="C73" t="s">
        <v>252</v>
      </c>
      <c r="D73" t="s">
        <v>133</v>
      </c>
      <c r="E73" t="s">
        <v>60</v>
      </c>
      <c r="F73" t="str">
        <f t="shared" si="6"/>
        <v>Hwanhee C. Kim</v>
      </c>
      <c r="G73" s="1" t="str">
        <f t="shared" si="7"/>
        <v>Hwanh</v>
      </c>
      <c r="H73" s="1" t="str">
        <f t="shared" si="8"/>
        <v>Hwanhee C.</v>
      </c>
      <c r="K73" t="s">
        <v>22</v>
      </c>
    </row>
    <row r="74" spans="1:12" x14ac:dyDescent="0.35">
      <c r="A74" t="s">
        <v>243</v>
      </c>
      <c r="B74">
        <f t="shared" si="5"/>
        <v>1</v>
      </c>
      <c r="C74" t="s">
        <v>253</v>
      </c>
      <c r="D74" t="s">
        <v>135</v>
      </c>
      <c r="E74" t="s">
        <v>134</v>
      </c>
      <c r="F74" t="str">
        <f t="shared" si="6"/>
        <v>Sarah J. Abell</v>
      </c>
      <c r="G74" s="1" t="str">
        <f t="shared" si="7"/>
        <v>Sarah</v>
      </c>
      <c r="H74" s="1" t="str">
        <f t="shared" si="8"/>
        <v>Sarah J. A</v>
      </c>
      <c r="I74" s="1" t="s">
        <v>334</v>
      </c>
      <c r="J74" t="s">
        <v>333</v>
      </c>
      <c r="K74" t="s">
        <v>22</v>
      </c>
      <c r="L74">
        <v>1</v>
      </c>
    </row>
    <row r="75" spans="1:12" x14ac:dyDescent="0.35">
      <c r="A75" t="s">
        <v>194</v>
      </c>
      <c r="B75">
        <f t="shared" si="5"/>
        <v>1</v>
      </c>
      <c r="C75" t="s">
        <v>254</v>
      </c>
      <c r="D75" t="s">
        <v>137</v>
      </c>
      <c r="E75" t="s">
        <v>136</v>
      </c>
      <c r="F75" t="str">
        <f t="shared" si="6"/>
        <v>Jesse R. Huang</v>
      </c>
      <c r="G75" s="1" t="str">
        <f t="shared" si="7"/>
        <v>Jesse</v>
      </c>
      <c r="H75" s="1" t="str">
        <f t="shared" si="8"/>
        <v>Jesse R. H</v>
      </c>
      <c r="K75" t="s">
        <v>22</v>
      </c>
    </row>
    <row r="76" spans="1:12" x14ac:dyDescent="0.35">
      <c r="A76" t="s">
        <v>244</v>
      </c>
      <c r="B76">
        <f t="shared" si="5"/>
        <v>1</v>
      </c>
      <c r="C76" t="s">
        <v>255</v>
      </c>
      <c r="D76" t="s">
        <v>139</v>
      </c>
      <c r="E76" t="s">
        <v>138</v>
      </c>
      <c r="F76" t="str">
        <f t="shared" si="6"/>
        <v>Jens H. Gundlach</v>
      </c>
      <c r="G76" s="1" t="str">
        <f t="shared" si="7"/>
        <v xml:space="preserve">Jens </v>
      </c>
      <c r="H76" s="1" t="str">
        <f t="shared" si="8"/>
        <v>Jens H. Gu</v>
      </c>
      <c r="J76" t="s">
        <v>335</v>
      </c>
      <c r="K76" t="s">
        <v>22</v>
      </c>
    </row>
    <row r="77" spans="1:12" x14ac:dyDescent="0.35">
      <c r="A77" t="s">
        <v>193</v>
      </c>
      <c r="B77">
        <f t="shared" si="5"/>
        <v>1</v>
      </c>
      <c r="C77" t="s">
        <v>256</v>
      </c>
      <c r="D77" t="s">
        <v>141</v>
      </c>
      <c r="E77" t="s">
        <v>140</v>
      </c>
      <c r="F77" t="str">
        <f t="shared" si="6"/>
        <v>Nili Ostrov</v>
      </c>
      <c r="G77" s="1" t="str">
        <f t="shared" si="7"/>
        <v xml:space="preserve">Nili </v>
      </c>
      <c r="H77" s="1" t="str">
        <f t="shared" si="8"/>
        <v>Nili Ostro</v>
      </c>
      <c r="I77" s="1" t="s">
        <v>336</v>
      </c>
      <c r="J77" t="s">
        <v>337</v>
      </c>
      <c r="K77" t="s">
        <v>150</v>
      </c>
    </row>
    <row r="78" spans="1:12" x14ac:dyDescent="0.35">
      <c r="A78" t="s">
        <v>239</v>
      </c>
      <c r="B78">
        <f t="shared" si="5"/>
        <v>1</v>
      </c>
      <c r="C78" t="s">
        <v>257</v>
      </c>
      <c r="D78" t="s">
        <v>143</v>
      </c>
      <c r="E78" t="s">
        <v>142</v>
      </c>
      <c r="F78" t="str">
        <f t="shared" si="6"/>
        <v>Akos Nyerges</v>
      </c>
      <c r="G78" s="1" t="str">
        <f t="shared" si="7"/>
        <v xml:space="preserve">Akos </v>
      </c>
      <c r="H78" s="1" t="str">
        <f t="shared" si="8"/>
        <v>Akos Nyerg</v>
      </c>
      <c r="I78" s="1" t="s">
        <v>339</v>
      </c>
      <c r="J78" t="s">
        <v>338</v>
      </c>
      <c r="K78" t="s">
        <v>150</v>
      </c>
    </row>
    <row r="79" spans="1:12" x14ac:dyDescent="0.35">
      <c r="A79" t="s">
        <v>245</v>
      </c>
      <c r="B79">
        <f t="shared" si="5"/>
        <v>1</v>
      </c>
      <c r="C79" t="s">
        <v>258</v>
      </c>
      <c r="D79" t="s">
        <v>145</v>
      </c>
      <c r="E79" t="s">
        <v>144</v>
      </c>
      <c r="F79" t="str">
        <f t="shared" si="6"/>
        <v>Anush Chiappino-Pepe</v>
      </c>
      <c r="G79" s="1" t="str">
        <f t="shared" si="7"/>
        <v>Anush</v>
      </c>
      <c r="H79" s="1" t="str">
        <f t="shared" si="8"/>
        <v>Anush Chia</v>
      </c>
      <c r="J79" t="s">
        <v>340</v>
      </c>
      <c r="K79" t="s">
        <v>150</v>
      </c>
    </row>
    <row r="80" spans="1:12" x14ac:dyDescent="0.35">
      <c r="A80" t="s">
        <v>194</v>
      </c>
      <c r="B80">
        <f t="shared" si="5"/>
        <v>1</v>
      </c>
      <c r="C80" t="s">
        <v>259</v>
      </c>
      <c r="D80" t="s">
        <v>147</v>
      </c>
      <c r="E80" t="s">
        <v>146</v>
      </c>
      <c r="F80" t="str">
        <f t="shared" si="6"/>
        <v>Alexandra Rudolph</v>
      </c>
      <c r="G80" s="1" t="str">
        <f t="shared" si="7"/>
        <v>Alexa</v>
      </c>
      <c r="H80" s="1" t="str">
        <f t="shared" si="8"/>
        <v xml:space="preserve">Alexandra </v>
      </c>
      <c r="K80" t="s">
        <v>150</v>
      </c>
    </row>
    <row r="81" spans="1:12" x14ac:dyDescent="0.35">
      <c r="A81" t="s">
        <v>246</v>
      </c>
      <c r="B81">
        <f t="shared" si="5"/>
        <v>1</v>
      </c>
      <c r="C81" t="s">
        <v>260</v>
      </c>
      <c r="D81" t="s">
        <v>149</v>
      </c>
      <c r="E81" t="s">
        <v>148</v>
      </c>
      <c r="F81" t="str">
        <f t="shared" si="6"/>
        <v>Maximilien Baas-Thomas</v>
      </c>
      <c r="G81" s="1" t="str">
        <f t="shared" si="7"/>
        <v>Maxim</v>
      </c>
      <c r="H81" s="1" t="str">
        <f t="shared" si="8"/>
        <v>Maximilien</v>
      </c>
      <c r="I81" s="1" t="s">
        <v>342</v>
      </c>
      <c r="J81" t="s">
        <v>341</v>
      </c>
      <c r="K81" t="s">
        <v>150</v>
      </c>
      <c r="L81">
        <v>1</v>
      </c>
    </row>
    <row r="82" spans="1:12" x14ac:dyDescent="0.35">
      <c r="A82" t="s">
        <v>188</v>
      </c>
      <c r="B82">
        <f t="shared" si="5"/>
        <v>1</v>
      </c>
      <c r="C82" t="s">
        <v>261</v>
      </c>
      <c r="D82" t="s">
        <v>151</v>
      </c>
      <c r="E82" t="s">
        <v>150</v>
      </c>
      <c r="F82" t="str">
        <f t="shared" si="6"/>
        <v>George M. Church</v>
      </c>
      <c r="G82" s="1" t="str">
        <f t="shared" si="7"/>
        <v>Georg</v>
      </c>
      <c r="H82" s="1" t="str">
        <f t="shared" si="8"/>
        <v xml:space="preserve">George M. </v>
      </c>
      <c r="I82" s="1" t="s">
        <v>344</v>
      </c>
      <c r="J82" t="s">
        <v>343</v>
      </c>
      <c r="K82" t="s">
        <v>150</v>
      </c>
    </row>
    <row r="83" spans="1:12" x14ac:dyDescent="0.35">
      <c r="A83" t="s">
        <v>202</v>
      </c>
      <c r="B83">
        <f t="shared" si="5"/>
        <v>1</v>
      </c>
      <c r="C83" t="s">
        <v>262</v>
      </c>
      <c r="D83" t="s">
        <v>153</v>
      </c>
      <c r="E83" t="s">
        <v>152</v>
      </c>
      <c r="F83" t="str">
        <f t="shared" si="6"/>
        <v>Young Jun Seo</v>
      </c>
      <c r="G83" s="1" t="str">
        <f t="shared" si="7"/>
        <v>Young</v>
      </c>
      <c r="H83" s="1" t="str">
        <f t="shared" si="8"/>
        <v xml:space="preserve">Young Jun </v>
      </c>
      <c r="I83" s="1" t="s">
        <v>345</v>
      </c>
      <c r="J83" t="s">
        <v>346</v>
      </c>
      <c r="K83" t="s">
        <v>22</v>
      </c>
    </row>
    <row r="84" spans="1:12" x14ac:dyDescent="0.35">
      <c r="A84" t="s">
        <v>193</v>
      </c>
      <c r="B84">
        <f t="shared" si="5"/>
        <v>1</v>
      </c>
      <c r="C84" t="s">
        <v>263</v>
      </c>
      <c r="D84" t="s">
        <v>155</v>
      </c>
      <c r="E84" t="s">
        <v>154</v>
      </c>
      <c r="F84" t="str">
        <f t="shared" si="6"/>
        <v>Phillip Ordoukhanian</v>
      </c>
      <c r="G84" s="1" t="str">
        <f t="shared" si="7"/>
        <v>Phill</v>
      </c>
      <c r="H84" s="1" t="str">
        <f t="shared" si="8"/>
        <v>Phillip Or</v>
      </c>
      <c r="J84" t="s">
        <v>347</v>
      </c>
      <c r="K84" t="s">
        <v>22</v>
      </c>
    </row>
    <row r="85" spans="1:12" x14ac:dyDescent="0.35">
      <c r="A85" t="s">
        <v>247</v>
      </c>
      <c r="B85">
        <f t="shared" si="5"/>
        <v>1</v>
      </c>
      <c r="C85" t="s">
        <v>265</v>
      </c>
      <c r="D85" t="s">
        <v>159</v>
      </c>
      <c r="E85" t="s">
        <v>158</v>
      </c>
      <c r="F85" t="str">
        <f t="shared" si="6"/>
        <v>Yun Ting Soong</v>
      </c>
      <c r="G85" s="1" t="str">
        <f t="shared" si="7"/>
        <v>Yun T</v>
      </c>
      <c r="H85" s="1" t="str">
        <f t="shared" si="8"/>
        <v>Yun Ting S</v>
      </c>
      <c r="K85" t="s">
        <v>297</v>
      </c>
    </row>
    <row r="86" spans="1:12" x14ac:dyDescent="0.35">
      <c r="A86" t="s">
        <v>248</v>
      </c>
      <c r="B86">
        <f t="shared" si="5"/>
        <v>1</v>
      </c>
      <c r="C86" t="s">
        <v>266</v>
      </c>
      <c r="D86" t="s">
        <v>161</v>
      </c>
      <c r="E86" t="s">
        <v>160</v>
      </c>
      <c r="F86" t="str">
        <f t="shared" si="6"/>
        <v>Ken-ichiro Matsunaga</v>
      </c>
      <c r="G86" s="1" t="str">
        <f t="shared" si="7"/>
        <v>Ken-i</v>
      </c>
      <c r="H86" s="1" t="str">
        <f t="shared" si="8"/>
        <v>Ken-ichiro</v>
      </c>
      <c r="K86" t="s">
        <v>297</v>
      </c>
    </row>
    <row r="87" spans="1:12" x14ac:dyDescent="0.35">
      <c r="A87" t="s">
        <v>249</v>
      </c>
      <c r="B87">
        <f t="shared" si="5"/>
        <v>1</v>
      </c>
      <c r="C87" t="s">
        <v>267</v>
      </c>
      <c r="D87" t="s">
        <v>163</v>
      </c>
      <c r="E87" t="s">
        <v>162</v>
      </c>
      <c r="F87" t="str">
        <f t="shared" si="6"/>
        <v>Paweł Błażej</v>
      </c>
      <c r="G87" s="1" t="str">
        <f t="shared" si="7"/>
        <v>Paweł</v>
      </c>
      <c r="H87" s="1" t="str">
        <f t="shared" si="8"/>
        <v>Paweł Błaż</v>
      </c>
      <c r="I87" t="s">
        <v>348</v>
      </c>
      <c r="J87" t="s">
        <v>349</v>
      </c>
    </row>
    <row r="88" spans="1:12" x14ac:dyDescent="0.35">
      <c r="A88" t="s">
        <v>250</v>
      </c>
      <c r="B88">
        <f t="shared" si="5"/>
        <v>1</v>
      </c>
      <c r="C88" t="s">
        <v>268</v>
      </c>
      <c r="D88" t="s">
        <v>165</v>
      </c>
      <c r="E88" t="s">
        <v>164</v>
      </c>
      <c r="F88" t="str">
        <f t="shared" si="6"/>
        <v>Małgorzata Wnetrzak</v>
      </c>
      <c r="G88" s="1" t="str">
        <f t="shared" si="7"/>
        <v>Małgo</v>
      </c>
      <c r="H88" s="1" t="str">
        <f t="shared" si="8"/>
        <v>Małgorzata</v>
      </c>
    </row>
    <row r="89" spans="1:12" x14ac:dyDescent="0.35">
      <c r="A89" t="s">
        <v>196</v>
      </c>
      <c r="B89">
        <f t="shared" si="5"/>
        <v>1</v>
      </c>
      <c r="C89" t="s">
        <v>269</v>
      </c>
      <c r="D89" t="s">
        <v>167</v>
      </c>
      <c r="E89" t="s">
        <v>166</v>
      </c>
      <c r="F89" t="str">
        <f t="shared" si="6"/>
        <v>Dorota Mackiewicz</v>
      </c>
      <c r="G89" s="1" t="str">
        <f t="shared" si="7"/>
        <v>Dorot</v>
      </c>
      <c r="H89" s="1" t="str">
        <f t="shared" si="8"/>
        <v>Dorota Mac</v>
      </c>
    </row>
    <row r="90" spans="1:12" x14ac:dyDescent="0.35">
      <c r="A90" t="s">
        <v>251</v>
      </c>
      <c r="B90">
        <f t="shared" si="5"/>
        <v>1</v>
      </c>
      <c r="C90" t="s">
        <v>270</v>
      </c>
      <c r="D90" t="s">
        <v>163</v>
      </c>
      <c r="E90" t="s">
        <v>166</v>
      </c>
      <c r="F90" t="str">
        <f t="shared" si="6"/>
        <v>Paweł Mackiewicz</v>
      </c>
      <c r="G90" s="1" t="str">
        <f t="shared" si="7"/>
        <v>Paweł</v>
      </c>
      <c r="H90" s="1" t="str">
        <f t="shared" si="8"/>
        <v>Paweł Mack</v>
      </c>
    </row>
    <row r="91" spans="1:12" x14ac:dyDescent="0.35">
      <c r="A91" t="s">
        <v>252</v>
      </c>
      <c r="B91">
        <f t="shared" si="5"/>
        <v>1</v>
      </c>
      <c r="C91" t="s">
        <v>271</v>
      </c>
      <c r="D91" t="s">
        <v>169</v>
      </c>
      <c r="E91" t="s">
        <v>168</v>
      </c>
      <c r="F91" t="str">
        <f t="shared" si="6"/>
        <v>B. Behera</v>
      </c>
      <c r="G91" s="1" t="str">
        <f t="shared" si="7"/>
        <v>B. Be</v>
      </c>
      <c r="H91" s="1" t="str">
        <f t="shared" si="8"/>
        <v>B. Behera</v>
      </c>
    </row>
    <row r="92" spans="1:12" x14ac:dyDescent="0.35">
      <c r="A92" t="s">
        <v>253</v>
      </c>
      <c r="B92">
        <f t="shared" si="5"/>
        <v>1</v>
      </c>
      <c r="C92" t="s">
        <v>272</v>
      </c>
      <c r="D92" t="s">
        <v>171</v>
      </c>
      <c r="E92" t="s">
        <v>170</v>
      </c>
      <c r="F92" t="str">
        <f t="shared" si="6"/>
        <v>P. Das</v>
      </c>
      <c r="G92" s="1" t="str">
        <f t="shared" si="7"/>
        <v>P. Da</v>
      </c>
      <c r="H92" s="1" t="str">
        <f t="shared" si="8"/>
        <v>P. Das</v>
      </c>
    </row>
    <row r="93" spans="1:12" x14ac:dyDescent="0.35">
      <c r="A93" t="s">
        <v>254</v>
      </c>
      <c r="B93">
        <f t="shared" si="5"/>
        <v>1</v>
      </c>
      <c r="C93" t="s">
        <v>273</v>
      </c>
      <c r="D93" t="s">
        <v>173</v>
      </c>
      <c r="E93" t="s">
        <v>172</v>
      </c>
      <c r="F93" t="str">
        <f t="shared" si="6"/>
        <v>N. R. Jena</v>
      </c>
      <c r="G93" s="1" t="str">
        <f t="shared" si="7"/>
        <v>N. R.</v>
      </c>
      <c r="H93" s="1" t="str">
        <f t="shared" si="8"/>
        <v>N. R. Jena</v>
      </c>
      <c r="I93" s="1" t="s">
        <v>350</v>
      </c>
    </row>
    <row r="94" spans="1:12" x14ac:dyDescent="0.35">
      <c r="A94" t="s">
        <v>199</v>
      </c>
      <c r="B94">
        <f t="shared" si="5"/>
        <v>1</v>
      </c>
      <c r="C94" t="s">
        <v>274</v>
      </c>
      <c r="D94" t="s">
        <v>175</v>
      </c>
      <c r="E94" t="s">
        <v>174</v>
      </c>
      <c r="F94" t="str">
        <f t="shared" si="6"/>
        <v>Sean M. Brown</v>
      </c>
      <c r="G94" s="1" t="str">
        <f t="shared" si="7"/>
        <v xml:space="preserve">Sean </v>
      </c>
      <c r="H94" s="1" t="str">
        <f t="shared" si="8"/>
        <v>Sean M. Br</v>
      </c>
      <c r="I94" t="s">
        <v>294</v>
      </c>
      <c r="K94" t="s">
        <v>6</v>
      </c>
    </row>
    <row r="95" spans="1:12" x14ac:dyDescent="0.35">
      <c r="A95" t="s">
        <v>200</v>
      </c>
      <c r="B95">
        <f t="shared" si="5"/>
        <v>1</v>
      </c>
      <c r="C95" t="s">
        <v>275</v>
      </c>
      <c r="D95" t="s">
        <v>177</v>
      </c>
      <c r="E95" t="s">
        <v>176</v>
      </c>
      <c r="F95" t="str">
        <f t="shared" si="6"/>
        <v>Antonius J. P. Hopstaken</v>
      </c>
      <c r="G95" s="1" t="str">
        <f t="shared" si="7"/>
        <v>Anton</v>
      </c>
      <c r="H95" s="1" t="str">
        <f t="shared" si="8"/>
        <v>Antonius J</v>
      </c>
    </row>
    <row r="96" spans="1:12" x14ac:dyDescent="0.35">
      <c r="A96" t="s">
        <v>255</v>
      </c>
      <c r="B96">
        <f t="shared" si="5"/>
        <v>1</v>
      </c>
      <c r="C96" t="s">
        <v>276</v>
      </c>
      <c r="D96" t="s">
        <v>179</v>
      </c>
      <c r="E96" t="s">
        <v>178</v>
      </c>
      <c r="F96" t="str">
        <f t="shared" si="6"/>
        <v>Enno Große Wichtrup</v>
      </c>
      <c r="G96" s="1" t="str">
        <f t="shared" si="7"/>
        <v xml:space="preserve">Enno </v>
      </c>
      <c r="H96" s="1" t="str">
        <f t="shared" si="8"/>
        <v>Enno Große</v>
      </c>
    </row>
    <row r="97" spans="1:11" x14ac:dyDescent="0.35">
      <c r="A97" t="s">
        <v>193</v>
      </c>
      <c r="B97">
        <f t="shared" si="5"/>
        <v>1</v>
      </c>
      <c r="C97" t="s">
        <v>277</v>
      </c>
      <c r="D97" t="s">
        <v>181</v>
      </c>
      <c r="E97" t="s">
        <v>180</v>
      </c>
      <c r="F97" t="str">
        <f>D97&amp;" "&amp;E97</f>
        <v>Seino A. K. Jongkees</v>
      </c>
      <c r="G97" s="1" t="str">
        <f t="shared" si="7"/>
        <v>Seino</v>
      </c>
      <c r="H97" s="1" t="str">
        <f t="shared" si="8"/>
        <v>Seino A. K</v>
      </c>
    </row>
    <row r="98" spans="1:11" x14ac:dyDescent="0.35">
      <c r="A98" t="s">
        <v>256</v>
      </c>
      <c r="F98" t="s">
        <v>287</v>
      </c>
      <c r="J98" s="1" t="s">
        <v>288</v>
      </c>
      <c r="K98" t="s">
        <v>289</v>
      </c>
    </row>
    <row r="99" spans="1:11" x14ac:dyDescent="0.35">
      <c r="A99" t="s">
        <v>257</v>
      </c>
    </row>
    <row r="100" spans="1:11" x14ac:dyDescent="0.35">
      <c r="A100" t="s">
        <v>258</v>
      </c>
    </row>
    <row r="101" spans="1:11" x14ac:dyDescent="0.35">
      <c r="A101" t="s">
        <v>259</v>
      </c>
    </row>
    <row r="102" spans="1:11" x14ac:dyDescent="0.35">
      <c r="A102" t="s">
        <v>260</v>
      </c>
    </row>
    <row r="103" spans="1:11" x14ac:dyDescent="0.35">
      <c r="A103" t="s">
        <v>261</v>
      </c>
    </row>
    <row r="104" spans="1:11" x14ac:dyDescent="0.35">
      <c r="A104" t="s">
        <v>186</v>
      </c>
    </row>
    <row r="105" spans="1:11" x14ac:dyDescent="0.35">
      <c r="A105" t="s">
        <v>262</v>
      </c>
    </row>
    <row r="106" spans="1:11" x14ac:dyDescent="0.35">
      <c r="A106" t="s">
        <v>263</v>
      </c>
    </row>
    <row r="107" spans="1:11" x14ac:dyDescent="0.35">
      <c r="A107" t="s">
        <v>193</v>
      </c>
    </row>
    <row r="108" spans="1:11" x14ac:dyDescent="0.35">
      <c r="A108" t="s">
        <v>264</v>
      </c>
    </row>
    <row r="109" spans="1:11" x14ac:dyDescent="0.35">
      <c r="A109" t="s">
        <v>233</v>
      </c>
    </row>
    <row r="110" spans="1:11" x14ac:dyDescent="0.35">
      <c r="A110" t="s">
        <v>234</v>
      </c>
    </row>
    <row r="111" spans="1:11" x14ac:dyDescent="0.35">
      <c r="A111" t="s">
        <v>264</v>
      </c>
    </row>
    <row r="112" spans="1:11" x14ac:dyDescent="0.35">
      <c r="A112" t="s">
        <v>265</v>
      </c>
    </row>
    <row r="113" spans="1:1" x14ac:dyDescent="0.35">
      <c r="A113" t="s">
        <v>266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267</v>
      </c>
    </row>
    <row r="117" spans="1:1" x14ac:dyDescent="0.35">
      <c r="A117" t="s">
        <v>268</v>
      </c>
    </row>
    <row r="118" spans="1:1" x14ac:dyDescent="0.35">
      <c r="A118" t="s">
        <v>269</v>
      </c>
    </row>
    <row r="119" spans="1:1" x14ac:dyDescent="0.35">
      <c r="A119" t="s">
        <v>270</v>
      </c>
    </row>
    <row r="120" spans="1:1" x14ac:dyDescent="0.35">
      <c r="A120" t="s">
        <v>271</v>
      </c>
    </row>
    <row r="121" spans="1:1" x14ac:dyDescent="0.35">
      <c r="A121" t="s">
        <v>272</v>
      </c>
    </row>
    <row r="122" spans="1:1" x14ac:dyDescent="0.35">
      <c r="A122" t="s">
        <v>273</v>
      </c>
    </row>
    <row r="123" spans="1:1" x14ac:dyDescent="0.35">
      <c r="A123" t="s">
        <v>274</v>
      </c>
    </row>
    <row r="124" spans="1:1" x14ac:dyDescent="0.35">
      <c r="A124" t="s">
        <v>182</v>
      </c>
    </row>
    <row r="125" spans="1:1" x14ac:dyDescent="0.35">
      <c r="A125" t="s">
        <v>185</v>
      </c>
    </row>
    <row r="126" spans="1:1" x14ac:dyDescent="0.35">
      <c r="A126" t="s">
        <v>275</v>
      </c>
    </row>
    <row r="127" spans="1:1" x14ac:dyDescent="0.35">
      <c r="A127" t="s">
        <v>276</v>
      </c>
    </row>
    <row r="128" spans="1:1" x14ac:dyDescent="0.35">
      <c r="A128" t="s">
        <v>277</v>
      </c>
    </row>
  </sheetData>
  <sortState xmlns:xlrd2="http://schemas.microsoft.com/office/spreadsheetml/2017/richdata2" ref="B2:D128">
    <sortCondition descending="1" ref="B2:B128"/>
  </sortState>
  <hyperlinks>
    <hyperlink ref="I2" r:id="rId1" display="floyd.e.romesberg@gmail.com" xr:uid="{E4E438D0-5CAE-4798-A5C6-8860A03C4AC3}"/>
    <hyperlink ref="I6" r:id="rId2" xr:uid="{D74E409B-F35D-4E94-AB3A-09C018617D84}"/>
    <hyperlink ref="J98" r:id="rId3" xr:uid="{FA76C706-20B0-45AC-B230-28B223F57364}"/>
    <hyperlink ref="I8" r:id="rId4" xr:uid="{1FF04A72-7937-4DD2-B41E-75ECC8008041}"/>
    <hyperlink ref="J31" r:id="rId5" xr:uid="{7C85C230-087C-408F-A17B-2A706CCB00DF}"/>
    <hyperlink ref="J6" r:id="rId6" xr:uid="{EB4E25E4-FB7E-48B3-80E8-15947D536AA1}"/>
    <hyperlink ref="I45" r:id="rId7" display="mailto:sdasgupt@nd.edu" xr:uid="{36AED165-6EEB-4C24-BE3E-A3F5138CC406}"/>
    <hyperlink ref="J45" r:id="rId8" xr:uid="{28CB3827-FD8D-458C-9664-4A9380674A3A}"/>
    <hyperlink ref="I46" r:id="rId9" display="mailto:jpicciri@uchicago.edu" xr:uid="{C65078E7-92B3-43FB-8EE5-4CC54DEE6ED5}"/>
    <hyperlink ref="I47" r:id="rId10" xr:uid="{7B98AD0D-D0E5-4157-A15C-DE5AB8CA4D76}"/>
    <hyperlink ref="I48" r:id="rId11" display="mailto:jsl@chem.wayne.edu" xr:uid="{D877FF10-C711-4A11-B3D9-14BBCFD2FF70}"/>
    <hyperlink ref="I49" r:id="rId12" display="mailto:mgeorgia@iu.edu" xr:uid="{8EE9B947-80EC-4577-8701-F1ABBB1A6C68}"/>
    <hyperlink ref="I55" r:id="rId13" display="mailto:shim@csufresno.edu" xr:uid="{9D4D7FF6-77CB-4CF8-AB8E-FD81CF29F2FB}"/>
    <hyperlink ref="I57" r:id="rId14" xr:uid="{C100D95E-CC21-40EC-B9EE-0592D42F626D}"/>
    <hyperlink ref="I68" r:id="rId15" display="mailto:j.h.spacek@ibp.cz" xr:uid="{31F200E0-0097-4592-A598-05FE7A340E45}"/>
    <hyperlink ref="I69" r:id="rId16" display="mailto:fojta@ibp.cz" xr:uid="{7A24F358-1B83-4432-959C-159A82C76F83}"/>
    <hyperlink ref="I74" r:id="rId17" display="mailto:saabell@uw.edu" xr:uid="{D242451D-E2D1-4AA1-8AAF-DD99AC656BC6}"/>
    <hyperlink ref="I77" r:id="rId18" display="mailto:nili_ostrov@hms.harvard.edu" xr:uid="{1CE9EFB2-7E2A-4A5A-988F-4DAC3E3ECBB0}"/>
    <hyperlink ref="I78" r:id="rId19" display="mailto:Akos_Nyerges@hms.harvard.edu" xr:uid="{99352ED9-B932-4B43-8938-FF12F840253A}"/>
    <hyperlink ref="I81" r:id="rId20" display="mailto:maximilien@g.harvard.edu" xr:uid="{481D1F7A-1D4E-4730-976D-1161873054F3}"/>
    <hyperlink ref="I82" r:id="rId21" xr:uid="{1628EACF-C306-414C-BB90-50DB399EDFBD}"/>
    <hyperlink ref="I83" r:id="rId22" display="mailto:yseo@jbnu.ac.kr" xr:uid="{B27A2FC4-838C-4F0B-877D-52CA8967925B}"/>
    <hyperlink ref="I93" r:id="rId23" display="mailto:nrjena@iiitdmj.ac.in" xr:uid="{37B6D342-961B-48E2-98B1-84173D552F84}"/>
  </hyperlinks>
  <pageMargins left="0.7" right="0.7" top="0.75" bottom="0.75" header="0.3" footer="0.3"/>
  <pageSetup paperSize="9" orientation="portrait" verticalDpi="0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2024-12-23T09:36:16Z</dcterms:created>
  <dcterms:modified xsi:type="dcterms:W3CDTF">2024-12-25T02:07:39Z</dcterms:modified>
</cp:coreProperties>
</file>